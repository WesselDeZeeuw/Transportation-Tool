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Tsn.tno.nl\data\Projects\060\2\25113\NSE_Atlas\0_setup_files\working_files\pipelines\"/>
    </mc:Choice>
  </mc:AlternateContent>
  <bookViews>
    <workbookView xWindow="0" yWindow="0" windowWidth="16395" windowHeight="4875" xr2:uid="{00000000-000D-0000-FFFF-FFFF00000000}"/>
  </bookViews>
  <sheets>
    <sheet name="H2" sheetId="1" r:id="rId1"/>
    <sheet name="H2_data" sheetId="3" r:id="rId2"/>
    <sheet name="Pipe_data" sheetId="2" r:id="rId3"/>
  </sheets>
  <functionGroups builtInGroupCount="19"/>
  <definedNames>
    <definedName name="HydroDensityTable">H2_data!$D$43:$AC$84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0" i="1" l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19" i="1"/>
  <c r="V45" i="1" s="1"/>
  <c r="B75" i="1"/>
  <c r="B76" i="1" s="1"/>
  <c r="B77" i="1" s="1"/>
  <c r="B78" i="1" s="1"/>
  <c r="B68" i="1"/>
  <c r="B69" i="1" s="1"/>
  <c r="B70" i="1" s="1"/>
  <c r="B71" i="1" s="1"/>
  <c r="B72" i="1" s="1"/>
  <c r="B73" i="1" s="1"/>
  <c r="B59" i="1"/>
  <c r="B60" i="1" s="1"/>
  <c r="B61" i="1" s="1"/>
  <c r="B62" i="1" s="1"/>
  <c r="B63" i="1" s="1"/>
  <c r="B64" i="1" s="1"/>
  <c r="B65" i="1" s="1"/>
  <c r="B66" i="1" s="1"/>
  <c r="U46" i="1" l="1"/>
  <c r="U47" i="1"/>
  <c r="U48" i="1"/>
  <c r="U49" i="1"/>
  <c r="U50" i="1"/>
  <c r="U51" i="1"/>
  <c r="U45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19" i="1"/>
  <c r="V46" i="1" l="1"/>
  <c r="V47" i="1"/>
  <c r="V48" i="1"/>
  <c r="V49" i="1"/>
  <c r="V50" i="1"/>
  <c r="V51" i="1"/>
  <c r="XFD45" i="1" l="1"/>
  <c r="C45" i="1"/>
  <c r="T48" i="1"/>
  <c r="T46" i="1" s="1"/>
  <c r="XFD46" i="1" s="1"/>
  <c r="R51" i="1"/>
  <c r="R50" i="1"/>
  <c r="R49" i="1"/>
  <c r="R48" i="1"/>
  <c r="R47" i="1"/>
  <c r="R46" i="1"/>
  <c r="R45" i="1"/>
  <c r="B46" i="1"/>
  <c r="B47" i="1"/>
  <c r="B48" i="1"/>
  <c r="B49" i="1"/>
  <c r="B50" i="1"/>
  <c r="B51" i="1"/>
  <c r="B45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19" i="1"/>
  <c r="B36" i="1"/>
  <c r="B37" i="1" s="1"/>
  <c r="B38" i="1" s="1"/>
  <c r="B39" i="1" s="1"/>
  <c r="B29" i="1"/>
  <c r="B30" i="1" s="1"/>
  <c r="B31" i="1" s="1"/>
  <c r="B32" i="1" s="1"/>
  <c r="B33" i="1" s="1"/>
  <c r="B34" i="1" s="1"/>
  <c r="B20" i="1"/>
  <c r="B21" i="1" s="1"/>
  <c r="B22" i="1" s="1"/>
  <c r="B23" i="1" s="1"/>
  <c r="B24" i="1" s="1"/>
  <c r="B25" i="1" s="1"/>
  <c r="B26" i="1" s="1"/>
  <c r="B27" i="1" s="1"/>
  <c r="C46" i="1" l="1"/>
  <c r="T51" i="1"/>
  <c r="T49" i="1" s="1"/>
  <c r="XFD48" i="1"/>
  <c r="C48" i="1"/>
  <c r="T47" i="1"/>
  <c r="R36" i="1"/>
  <c r="R37" i="1" s="1"/>
  <c r="R38" i="1" s="1"/>
  <c r="R39" i="1" s="1"/>
  <c r="R29" i="1"/>
  <c r="R30" i="1" s="1"/>
  <c r="R31" i="1" s="1"/>
  <c r="R32" i="1" s="1"/>
  <c r="R33" i="1" s="1"/>
  <c r="R34" i="1" s="1"/>
  <c r="R20" i="1"/>
  <c r="R21" i="1" s="1"/>
  <c r="R22" i="1" s="1"/>
  <c r="W20" i="1"/>
  <c r="X20" i="1" s="1"/>
  <c r="W21" i="1"/>
  <c r="X21" i="1" s="1"/>
  <c r="W22" i="1"/>
  <c r="X22" i="1" s="1"/>
  <c r="W23" i="1"/>
  <c r="X23" i="1" s="1"/>
  <c r="W24" i="1"/>
  <c r="X24" i="1" s="1"/>
  <c r="W25" i="1"/>
  <c r="X25" i="1" s="1"/>
  <c r="W26" i="1"/>
  <c r="X26" i="1" s="1"/>
  <c r="W27" i="1"/>
  <c r="X27" i="1" s="1"/>
  <c r="W28" i="1"/>
  <c r="X28" i="1" s="1"/>
  <c r="W29" i="1"/>
  <c r="X29" i="1" s="1"/>
  <c r="W30" i="1"/>
  <c r="X30" i="1" s="1"/>
  <c r="W31" i="1"/>
  <c r="X31" i="1" s="1"/>
  <c r="W32" i="1"/>
  <c r="X32" i="1" s="1"/>
  <c r="W33" i="1"/>
  <c r="X33" i="1" s="1"/>
  <c r="W34" i="1"/>
  <c r="X34" i="1" s="1"/>
  <c r="W35" i="1"/>
  <c r="X35" i="1" s="1"/>
  <c r="W36" i="1"/>
  <c r="X36" i="1" s="1"/>
  <c r="W37" i="1"/>
  <c r="X37" i="1" s="1"/>
  <c r="W38" i="1"/>
  <c r="X38" i="1" s="1"/>
  <c r="W39" i="1"/>
  <c r="X39" i="1" s="1"/>
  <c r="W19" i="1"/>
  <c r="X19" i="1" s="1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10" i="2"/>
  <c r="B12" i="2"/>
  <c r="B13" i="2"/>
  <c r="B14" i="2"/>
  <c r="B15" i="2"/>
  <c r="B16" i="2" s="1"/>
  <c r="B17" i="2" s="1"/>
  <c r="B18" i="2" s="1"/>
  <c r="B20" i="2" s="1"/>
  <c r="B21" i="2" s="1"/>
  <c r="B22" i="2" s="1"/>
  <c r="B23" i="2" s="1"/>
  <c r="B24" i="2" s="1"/>
  <c r="B25" i="2" s="1"/>
  <c r="B27" i="2" s="1"/>
  <c r="B28" i="2" s="1"/>
  <c r="B29" i="2" s="1"/>
  <c r="B30" i="2" s="1"/>
  <c r="B11" i="2"/>
  <c r="Y24" i="1"/>
  <c r="Y19" i="1"/>
  <c r="Y33" i="1"/>
  <c r="Y30" i="1"/>
  <c r="Y27" i="1"/>
  <c r="Y32" i="1"/>
  <c r="Y22" i="1"/>
  <c r="Y35" i="1"/>
  <c r="Y20" i="1"/>
  <c r="Y29" i="1"/>
  <c r="Y23" i="1"/>
  <c r="Y28" i="1"/>
  <c r="Y21" i="1"/>
  <c r="Y37" i="1"/>
  <c r="Y34" i="1"/>
  <c r="Y31" i="1"/>
  <c r="Y25" i="1"/>
  <c r="Y38" i="1"/>
  <c r="Y36" i="1"/>
  <c r="Y26" i="1"/>
  <c r="Y39" i="1"/>
  <c r="C49" i="1" l="1"/>
  <c r="XFD49" i="1"/>
  <c r="T50" i="1"/>
  <c r="C51" i="1"/>
  <c r="XFD51" i="1"/>
  <c r="C47" i="1"/>
  <c r="XFD47" i="1"/>
  <c r="R23" i="1"/>
  <c r="Z19" i="1"/>
  <c r="D19" i="1"/>
  <c r="Z32" i="1"/>
  <c r="D32" i="1"/>
  <c r="Z28" i="1"/>
  <c r="D28" i="1"/>
  <c r="Z24" i="1"/>
  <c r="D24" i="1"/>
  <c r="Z39" i="1"/>
  <c r="D39" i="1"/>
  <c r="Z35" i="1"/>
  <c r="D35" i="1"/>
  <c r="Z27" i="1"/>
  <c r="D27" i="1"/>
  <c r="Z23" i="1"/>
  <c r="D23" i="1"/>
  <c r="Z38" i="1"/>
  <c r="D38" i="1"/>
  <c r="Z34" i="1"/>
  <c r="D34" i="1"/>
  <c r="Z30" i="1"/>
  <c r="D30" i="1"/>
  <c r="Z26" i="1"/>
  <c r="D26" i="1"/>
  <c r="Z22" i="1"/>
  <c r="D22" i="1"/>
  <c r="Z37" i="1"/>
  <c r="D37" i="1"/>
  <c r="Z33" i="1"/>
  <c r="D33" i="1"/>
  <c r="Z29" i="1"/>
  <c r="D29" i="1"/>
  <c r="Z25" i="1"/>
  <c r="D25" i="1"/>
  <c r="Z21" i="1"/>
  <c r="D21" i="1"/>
  <c r="Z36" i="1"/>
  <c r="D36" i="1"/>
  <c r="Z20" i="1"/>
  <c r="D20" i="1"/>
  <c r="Z31" i="1"/>
  <c r="D31" i="1"/>
  <c r="XFD50" i="1" l="1"/>
  <c r="C50" i="1"/>
  <c r="AB20" i="1"/>
  <c r="AC20" i="1" s="1"/>
  <c r="E20" i="1"/>
  <c r="G20" i="1" s="1"/>
  <c r="H20" i="1" s="1"/>
  <c r="AA20" i="1"/>
  <c r="F20" i="1" s="1"/>
  <c r="AB21" i="1"/>
  <c r="AC21" i="1" s="1"/>
  <c r="E21" i="1"/>
  <c r="G21" i="1" s="1"/>
  <c r="H21" i="1" s="1"/>
  <c r="AA21" i="1"/>
  <c r="F21" i="1" s="1"/>
  <c r="AB29" i="1"/>
  <c r="AC29" i="1" s="1"/>
  <c r="E29" i="1"/>
  <c r="G29" i="1" s="1"/>
  <c r="H29" i="1" s="1"/>
  <c r="AA29" i="1"/>
  <c r="F29" i="1" s="1"/>
  <c r="AB37" i="1"/>
  <c r="AC37" i="1" s="1"/>
  <c r="E37" i="1"/>
  <c r="G37" i="1" s="1"/>
  <c r="H37" i="1" s="1"/>
  <c r="AA37" i="1"/>
  <c r="F37" i="1" s="1"/>
  <c r="AB26" i="1"/>
  <c r="AC26" i="1" s="1"/>
  <c r="AA26" i="1"/>
  <c r="F26" i="1" s="1"/>
  <c r="E26" i="1"/>
  <c r="G26" i="1" s="1"/>
  <c r="H26" i="1" s="1"/>
  <c r="AB34" i="1"/>
  <c r="AC34" i="1" s="1"/>
  <c r="AA34" i="1"/>
  <c r="F34" i="1" s="1"/>
  <c r="F11" i="1" s="1"/>
  <c r="B57" i="1" s="1"/>
  <c r="E34" i="1"/>
  <c r="G34" i="1" s="1"/>
  <c r="AB23" i="1"/>
  <c r="AC23" i="1" s="1"/>
  <c r="E23" i="1"/>
  <c r="G23" i="1" s="1"/>
  <c r="H23" i="1" s="1"/>
  <c r="AA23" i="1"/>
  <c r="F23" i="1" s="1"/>
  <c r="AB35" i="1"/>
  <c r="AC35" i="1" s="1"/>
  <c r="E35" i="1"/>
  <c r="G35" i="1" s="1"/>
  <c r="H35" i="1" s="1"/>
  <c r="AA35" i="1"/>
  <c r="F35" i="1" s="1"/>
  <c r="AB24" i="1"/>
  <c r="AC24" i="1" s="1"/>
  <c r="E24" i="1"/>
  <c r="G24" i="1" s="1"/>
  <c r="H24" i="1" s="1"/>
  <c r="AA24" i="1"/>
  <c r="F24" i="1" s="1"/>
  <c r="AB32" i="1"/>
  <c r="AC32" i="1" s="1"/>
  <c r="E32" i="1"/>
  <c r="G32" i="1" s="1"/>
  <c r="H32" i="1" s="1"/>
  <c r="AA32" i="1"/>
  <c r="F32" i="1" s="1"/>
  <c r="AB31" i="1"/>
  <c r="AC31" i="1" s="1"/>
  <c r="E31" i="1"/>
  <c r="G31" i="1" s="1"/>
  <c r="H31" i="1" s="1"/>
  <c r="AA31" i="1"/>
  <c r="F31" i="1" s="1"/>
  <c r="AB36" i="1"/>
  <c r="AC36" i="1" s="1"/>
  <c r="E36" i="1"/>
  <c r="G36" i="1" s="1"/>
  <c r="H36" i="1" s="1"/>
  <c r="AA36" i="1"/>
  <c r="F36" i="1" s="1"/>
  <c r="AB25" i="1"/>
  <c r="AC25" i="1" s="1"/>
  <c r="E25" i="1"/>
  <c r="G25" i="1" s="1"/>
  <c r="H25" i="1" s="1"/>
  <c r="AA25" i="1"/>
  <c r="F25" i="1" s="1"/>
  <c r="AB33" i="1"/>
  <c r="AC33" i="1" s="1"/>
  <c r="E33" i="1"/>
  <c r="G33" i="1" s="1"/>
  <c r="H33" i="1" s="1"/>
  <c r="AA33" i="1"/>
  <c r="F33" i="1" s="1"/>
  <c r="AB22" i="1"/>
  <c r="AC22" i="1" s="1"/>
  <c r="AA22" i="1"/>
  <c r="F22" i="1" s="1"/>
  <c r="E22" i="1"/>
  <c r="G22" i="1" s="1"/>
  <c r="H22" i="1" s="1"/>
  <c r="AB30" i="1"/>
  <c r="AC30" i="1" s="1"/>
  <c r="AA30" i="1"/>
  <c r="F30" i="1" s="1"/>
  <c r="E30" i="1"/>
  <c r="G30" i="1" s="1"/>
  <c r="H30" i="1" s="1"/>
  <c r="AB38" i="1"/>
  <c r="AC38" i="1" s="1"/>
  <c r="AA38" i="1"/>
  <c r="F38" i="1" s="1"/>
  <c r="E38" i="1"/>
  <c r="G38" i="1" s="1"/>
  <c r="H38" i="1" s="1"/>
  <c r="AB27" i="1"/>
  <c r="AC27" i="1" s="1"/>
  <c r="E27" i="1"/>
  <c r="G27" i="1" s="1"/>
  <c r="H27" i="1" s="1"/>
  <c r="AA27" i="1"/>
  <c r="F27" i="1" s="1"/>
  <c r="AB39" i="1"/>
  <c r="AC39" i="1" s="1"/>
  <c r="E39" i="1"/>
  <c r="G39" i="1" s="1"/>
  <c r="H39" i="1" s="1"/>
  <c r="AA39" i="1"/>
  <c r="F39" i="1" s="1"/>
  <c r="AB28" i="1"/>
  <c r="AC28" i="1" s="1"/>
  <c r="E28" i="1"/>
  <c r="G28" i="1" s="1"/>
  <c r="H28" i="1" s="1"/>
  <c r="AA28" i="1"/>
  <c r="F28" i="1" s="1"/>
  <c r="AB19" i="1"/>
  <c r="AC19" i="1" s="1"/>
  <c r="E19" i="1"/>
  <c r="G19" i="1" s="1"/>
  <c r="H19" i="1" s="1"/>
  <c r="AA19" i="1"/>
  <c r="F19" i="1" s="1"/>
  <c r="R24" i="1"/>
  <c r="H34" i="1" l="1"/>
  <c r="F12" i="1"/>
  <c r="R25" i="1"/>
  <c r="R26" i="1" l="1"/>
  <c r="R27" i="1" l="1"/>
  <c r="W48" i="1" s="1"/>
  <c r="X48" i="1" s="1"/>
  <c r="W50" i="1"/>
  <c r="X50" i="1" s="1"/>
  <c r="Y48" i="1"/>
  <c r="Y50" i="1"/>
  <c r="S47" i="1" l="1"/>
  <c r="S48" i="1"/>
  <c r="S45" i="1"/>
  <c r="S50" i="1"/>
  <c r="S46" i="1"/>
  <c r="Z48" i="1"/>
  <c r="AA48" i="1" s="1"/>
  <c r="F48" i="1" s="1"/>
  <c r="D48" i="1"/>
  <c r="Z50" i="1"/>
  <c r="AA50" i="1" s="1"/>
  <c r="F50" i="1" s="1"/>
  <c r="D50" i="1"/>
  <c r="W46" i="1"/>
  <c r="X46" i="1" s="1"/>
  <c r="S51" i="1"/>
  <c r="S49" i="1"/>
  <c r="W47" i="1"/>
  <c r="X47" i="1" s="1"/>
  <c r="W45" i="1"/>
  <c r="X45" i="1" s="1"/>
  <c r="W49" i="1"/>
  <c r="X49" i="1" s="1"/>
  <c r="Y46" i="1"/>
  <c r="Y47" i="1"/>
  <c r="Y45" i="1"/>
  <c r="Y49" i="1"/>
  <c r="W51" i="1" l="1"/>
  <c r="X51" i="1" s="1"/>
  <c r="D49" i="1"/>
  <c r="Z49" i="1"/>
  <c r="AA49" i="1" s="1"/>
  <c r="F49" i="1" s="1"/>
  <c r="E50" i="1"/>
  <c r="AB50" i="1"/>
  <c r="Z45" i="1"/>
  <c r="AA45" i="1" s="1"/>
  <c r="F45" i="1" s="1"/>
  <c r="D45" i="1"/>
  <c r="D47" i="1"/>
  <c r="Z47" i="1"/>
  <c r="AA47" i="1" s="1"/>
  <c r="F47" i="1" s="1"/>
  <c r="Z46" i="1"/>
  <c r="AA46" i="1" s="1"/>
  <c r="F46" i="1" s="1"/>
  <c r="D46" i="1"/>
  <c r="AB48" i="1"/>
  <c r="E48" i="1"/>
  <c r="Y51" i="1"/>
  <c r="Z51" i="1" l="1"/>
  <c r="AA51" i="1" s="1"/>
  <c r="F51" i="1" s="1"/>
  <c r="D51" i="1"/>
  <c r="G50" i="1"/>
  <c r="AC50" i="1"/>
  <c r="H50" i="1" s="1"/>
  <c r="G48" i="1"/>
  <c r="AC48" i="1"/>
  <c r="H48" i="1" s="1"/>
  <c r="E49" i="1"/>
  <c r="AB49" i="1"/>
  <c r="AB46" i="1"/>
  <c r="E46" i="1"/>
  <c r="AB45" i="1"/>
  <c r="E45" i="1"/>
  <c r="AB47" i="1"/>
  <c r="E47" i="1"/>
  <c r="AB51" i="1" l="1"/>
  <c r="AC51" i="1" s="1"/>
  <c r="H51" i="1" s="1"/>
  <c r="E51" i="1"/>
  <c r="G47" i="1"/>
  <c r="AC47" i="1"/>
  <c r="H47" i="1" s="1"/>
  <c r="G46" i="1"/>
  <c r="AC46" i="1"/>
  <c r="H46" i="1" s="1"/>
  <c r="G49" i="1"/>
  <c r="AC49" i="1"/>
  <c r="H49" i="1" s="1"/>
  <c r="G51" i="1"/>
  <c r="G45" i="1"/>
  <c r="AC45" i="1"/>
  <c r="H45" i="1" s="1"/>
</calcChain>
</file>

<file path=xl/sharedStrings.xml><?xml version="1.0" encoding="utf-8"?>
<sst xmlns="http://schemas.openxmlformats.org/spreadsheetml/2006/main" count="185" uniqueCount="91">
  <si>
    <t>DN</t>
  </si>
  <si>
    <t>P design</t>
  </si>
  <si>
    <t>T design</t>
  </si>
  <si>
    <t>Corrosion</t>
  </si>
  <si>
    <t>OD</t>
  </si>
  <si>
    <t>WT (calc)</t>
  </si>
  <si>
    <t>WT (sel)</t>
  </si>
  <si>
    <t>[mm]</t>
  </si>
  <si>
    <t>[°C]</t>
  </si>
  <si>
    <t>[barg]</t>
  </si>
  <si>
    <t>[-]</t>
  </si>
  <si>
    <t xml:space="preserve">Typical pipe for similar use. </t>
  </si>
  <si>
    <t>Carbon Steel &amp; Ni steel</t>
  </si>
  <si>
    <t>600 lbs pressure rating</t>
  </si>
  <si>
    <t>According to EN1594</t>
  </si>
  <si>
    <t>Ref. point P</t>
  </si>
  <si>
    <t>Ref. point T</t>
  </si>
  <si>
    <t>Ref. point U</t>
  </si>
  <si>
    <t>[m/s]</t>
  </si>
  <si>
    <t>Flow Rate</t>
  </si>
  <si>
    <t>[m³/h]</t>
  </si>
  <si>
    <t>NPS</t>
  </si>
  <si>
    <t>NOGAT</t>
  </si>
  <si>
    <t>Material Specification: DIN 17172</t>
  </si>
  <si>
    <t>Material Grade: STE 415.7TM</t>
  </si>
  <si>
    <t>Nominal Wall Thickness 36”: 17.8 mm</t>
  </si>
  <si>
    <t>Nominal Wall Thickness 24”: 13.1 mm</t>
  </si>
  <si>
    <t>Nominal Wall Thickness 16”: 12.7 mm</t>
  </si>
  <si>
    <t>WT (SCH  40)</t>
  </si>
  <si>
    <t>ID</t>
  </si>
  <si>
    <t>[kg/h]</t>
  </si>
  <si>
    <t>Temperature (C)</t>
  </si>
  <si>
    <t>Pressure (bar)</t>
  </si>
  <si>
    <t>Density (kg/m3)</t>
  </si>
  <si>
    <t>Volume (m3/kg)</t>
  </si>
  <si>
    <t>Internal Energy (kJ/kg)</t>
  </si>
  <si>
    <t>Enthalpy (kJ/kg)</t>
  </si>
  <si>
    <t>Entropy (J/g*K)</t>
  </si>
  <si>
    <t>Cv (J/g*K)</t>
  </si>
  <si>
    <t>Cp (J/g*K)</t>
  </si>
  <si>
    <t>Sound Spd. (m/s)</t>
  </si>
  <si>
    <t>Joule-Thomson (K/bar)</t>
  </si>
  <si>
    <t>Viscosity (Pa*s)</t>
  </si>
  <si>
    <t>Therm. Cond. (W/m*K)</t>
  </si>
  <si>
    <t>Phase</t>
  </si>
  <si>
    <t>supercritical</t>
  </si>
  <si>
    <t>Isothermal Properties for Hydrogen</t>
  </si>
  <si>
    <t>(Th) Energy Flux</t>
  </si>
  <si>
    <t>kWh/Nm³</t>
  </si>
  <si>
    <t>kWh/l (LH2)</t>
  </si>
  <si>
    <t>kWh/kg</t>
  </si>
  <si>
    <t>Low Heating</t>
  </si>
  <si>
    <t>High Heating</t>
  </si>
  <si>
    <t>MJ/kg</t>
  </si>
  <si>
    <t>MJ/Nm³</t>
  </si>
  <si>
    <t>MJ/l (LH2)</t>
  </si>
  <si>
    <t>Annual Capacity</t>
  </si>
  <si>
    <t>[PJ pa.]</t>
  </si>
  <si>
    <t>[TJ(th)/h]</t>
  </si>
  <si>
    <t>Molecular Weight</t>
  </si>
  <si>
    <t>Pressure</t>
  </si>
  <si>
    <t>Select NPS</t>
  </si>
  <si>
    <t>[TWh pa.]</t>
  </si>
  <si>
    <t>[GW(th)]</t>
  </si>
  <si>
    <t>[inch]</t>
  </si>
  <si>
    <t>INPUT</t>
  </si>
  <si>
    <t>Basic assumptions:</t>
  </si>
  <si>
    <t xml:space="preserve">   - Pipe schedule SCH 40 or SCH 40s/STD depending on size.</t>
  </si>
  <si>
    <t>Effect of pipe size (NPS)</t>
  </si>
  <si>
    <t>TNO Fluid Dynamics</t>
  </si>
  <si>
    <t>Created by: Néstor González</t>
  </si>
  <si>
    <t>Tool to calculate the transport capacity of (100%) H2 for existing offshore pipelines</t>
  </si>
  <si>
    <t>PJ per annum</t>
  </si>
  <si>
    <t>GW(th)</t>
  </si>
  <si>
    <t>OUTPUT</t>
  </si>
  <si>
    <t xml:space="preserve">   - Constraints on allowable pressure drop not taken into account.</t>
  </si>
  <si>
    <t>Effect of pressure</t>
  </si>
  <si>
    <t>Formula for density based on interpolating curve on H2-data sheet, see correlation formula.</t>
  </si>
  <si>
    <t>Substance-dependent</t>
  </si>
  <si>
    <t>v 20171207</t>
  </si>
  <si>
    <t>single phase</t>
  </si>
  <si>
    <t>DENSITY</t>
  </si>
  <si>
    <t>hydrogen</t>
  </si>
  <si>
    <t>Bar</t>
  </si>
  <si>
    <t>Mpa</t>
  </si>
  <si>
    <t>Temp</t>
  </si>
  <si>
    <t>Data table</t>
  </si>
  <si>
    <t>Pressure bar</t>
  </si>
  <si>
    <t>inch</t>
  </si>
  <si>
    <t>M/s</t>
  </si>
  <si>
    <r>
      <t xml:space="preserve">   - Reference measurement point at user-defined pressure and </t>
    </r>
    <r>
      <rPr>
        <sz val="10"/>
        <color rgb="FFFF0000"/>
        <rFont val="Calibri"/>
        <family val="2"/>
        <scheme val="minor"/>
      </rPr>
      <t>10 deg.C</t>
    </r>
    <r>
      <rPr>
        <sz val="10"/>
        <color theme="1"/>
        <rFont val="Calibri"/>
        <family val="2"/>
        <scheme val="minor"/>
      </rPr>
      <t xml:space="preserve">, flow speed </t>
    </r>
    <r>
      <rPr>
        <sz val="10"/>
        <color rgb="FFFF0000"/>
        <rFont val="Calibri"/>
        <family val="2"/>
        <scheme val="minor"/>
      </rPr>
      <t>5 m/s</t>
    </r>
    <r>
      <rPr>
        <sz val="10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</si>
</sst>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27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2" fillId="0" borderId="0"/>
    <xf numFmtId="0" fontId="13" fillId="8" borderId="0" applyNumberFormat="0" applyBorder="0" applyAlignment="0" applyProtection="0"/>
  </cellStyleXfs>
  <cellXfs count="56">
    <xf numFmtId="0" fontId="0" fillId="0" borderId="0" xfId="0"/>
    <xf numFmtId="0" fontId="0" fillId="0" borderId="1" xfId="0" applyBorder="1"/>
    <xf numFmtId="0" fontId="1" fillId="0" borderId="0" xfId="0" applyFont="1"/>
    <xf numFmtId="0" fontId="0" fillId="0" borderId="0" xfId="0" applyFont="1"/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Fill="1" applyBorder="1"/>
    <xf numFmtId="0" fontId="3" fillId="0" borderId="0" xfId="0" applyFont="1" applyAlignment="1">
      <alignment vertical="center"/>
    </xf>
    <xf numFmtId="2" fontId="0" fillId="0" borderId="0" xfId="0" applyNumberFormat="1"/>
    <xf numFmtId="0" fontId="0" fillId="0" borderId="1" xfId="0" applyFont="1" applyFill="1" applyBorder="1" applyAlignment="1">
      <alignment horizontal="center"/>
    </xf>
    <xf numFmtId="1" fontId="0" fillId="0" borderId="1" xfId="0" applyNumberFormat="1" applyBorder="1"/>
    <xf numFmtId="0" fontId="0" fillId="0" borderId="2" xfId="0" applyFont="1" applyFill="1" applyBorder="1" applyAlignment="1">
      <alignment horizontal="center"/>
    </xf>
    <xf numFmtId="0" fontId="4" fillId="0" borderId="0" xfId="0" applyFont="1" applyAlignment="1">
      <alignment vertical="center"/>
    </xf>
    <xf numFmtId="0" fontId="5" fillId="0" borderId="3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right" vertical="center" wrapText="1"/>
    </xf>
    <xf numFmtId="11" fontId="6" fillId="0" borderId="3" xfId="0" applyNumberFormat="1" applyFont="1" applyBorder="1" applyAlignment="1">
      <alignment horizontal="right" vertical="center" wrapText="1"/>
    </xf>
    <xf numFmtId="2" fontId="0" fillId="0" borderId="1" xfId="0" applyNumberFormat="1" applyBorder="1"/>
    <xf numFmtId="164" fontId="0" fillId="0" borderId="1" xfId="0" applyNumberFormat="1" applyBorder="1"/>
    <xf numFmtId="0" fontId="0" fillId="0" borderId="0" xfId="0" applyBorder="1"/>
    <xf numFmtId="0" fontId="0" fillId="0" borderId="0" xfId="0" applyFont="1" applyBorder="1"/>
    <xf numFmtId="0" fontId="8" fillId="0" borderId="1" xfId="0" applyFont="1" applyBorder="1"/>
    <xf numFmtId="0" fontId="8" fillId="0" borderId="1" xfId="0" applyFont="1" applyFill="1" applyBorder="1"/>
    <xf numFmtId="0" fontId="8" fillId="0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1" fontId="8" fillId="0" borderId="1" xfId="0" applyNumberFormat="1" applyFont="1" applyFill="1" applyBorder="1"/>
    <xf numFmtId="164" fontId="8" fillId="0" borderId="1" xfId="0" applyNumberFormat="1" applyFont="1" applyBorder="1"/>
    <xf numFmtId="1" fontId="7" fillId="0" borderId="1" xfId="0" applyNumberFormat="1" applyFont="1" applyBorder="1"/>
    <xf numFmtId="2" fontId="8" fillId="0" borderId="1" xfId="0" applyNumberFormat="1" applyFont="1" applyFill="1" applyBorder="1"/>
    <xf numFmtId="0" fontId="0" fillId="0" borderId="1" xfId="0" applyFill="1" applyBorder="1" applyAlignment="1">
      <alignment horizontal="center"/>
    </xf>
    <xf numFmtId="0" fontId="6" fillId="0" borderId="0" xfId="0" applyFont="1" applyBorder="1"/>
    <xf numFmtId="0" fontId="6" fillId="4" borderId="6" xfId="0" applyFont="1" applyFill="1" applyBorder="1"/>
    <xf numFmtId="0" fontId="6" fillId="0" borderId="7" xfId="0" applyFont="1" applyBorder="1" applyAlignment="1">
      <alignment horizontal="center"/>
    </xf>
    <xf numFmtId="0" fontId="6" fillId="3" borderId="9" xfId="0" applyFont="1" applyFill="1" applyBorder="1"/>
    <xf numFmtId="0" fontId="6" fillId="0" borderId="10" xfId="0" applyFont="1" applyBorder="1" applyAlignment="1">
      <alignment horizontal="center"/>
    </xf>
    <xf numFmtId="0" fontId="9" fillId="0" borderId="0" xfId="0" applyFont="1"/>
    <xf numFmtId="0" fontId="6" fillId="0" borderId="0" xfId="0" applyFont="1"/>
    <xf numFmtId="0" fontId="6" fillId="0" borderId="0" xfId="0" applyFont="1" applyFill="1" applyBorder="1"/>
    <xf numFmtId="0" fontId="6" fillId="4" borderId="14" xfId="0" applyFont="1" applyFill="1" applyBorder="1"/>
    <xf numFmtId="0" fontId="6" fillId="3" borderId="15" xfId="0" applyFont="1" applyFill="1" applyBorder="1"/>
    <xf numFmtId="2" fontId="6" fillId="0" borderId="6" xfId="0" applyNumberFormat="1" applyFont="1" applyBorder="1"/>
    <xf numFmtId="164" fontId="6" fillId="0" borderId="9" xfId="0" applyNumberFormat="1" applyFont="1" applyBorder="1"/>
    <xf numFmtId="0" fontId="10" fillId="0" borderId="0" xfId="0" applyFont="1"/>
    <xf numFmtId="1" fontId="10" fillId="0" borderId="1" xfId="0" applyNumberFormat="1" applyFont="1" applyFill="1" applyBorder="1"/>
    <xf numFmtId="0" fontId="6" fillId="6" borderId="8" xfId="0" applyFont="1" applyFill="1" applyBorder="1"/>
    <xf numFmtId="0" fontId="6" fillId="7" borderId="11" xfId="0" applyFont="1" applyFill="1" applyBorder="1"/>
    <xf numFmtId="1" fontId="8" fillId="0" borderId="1" xfId="0" applyNumberFormat="1" applyFont="1" applyBorder="1"/>
    <xf numFmtId="2" fontId="8" fillId="0" borderId="1" xfId="0" applyNumberFormat="1" applyFont="1" applyBorder="1"/>
    <xf numFmtId="0" fontId="0" fillId="0" borderId="16" xfId="0" applyBorder="1"/>
    <xf numFmtId="0" fontId="0" fillId="0" borderId="17" xfId="0" applyBorder="1"/>
    <xf numFmtId="2" fontId="13" fillId="8" borderId="0" xfId="2" applyNumberFormat="1"/>
    <xf numFmtId="164" fontId="0" fillId="0" borderId="0" xfId="0" applyNumberFormat="1"/>
    <xf numFmtId="0" fontId="0" fillId="0" borderId="17" xfId="0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</cellXfs>
  <cellStyles count="3">
    <cellStyle name="Accent2" xfId="2" builtinId="33"/>
    <cellStyle name="Normal" xfId="0" builtinId="0"/>
    <cellStyle name="Normal 2" xfId="1" xr:uid="{00000000-0005-0000-0000-000001000000}"/>
  </cellStyles>
  <dxfs count="3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'H2'!$B$15</c:f>
              <c:strCache>
                <c:ptCount val="1"/>
                <c:pt idx="0">
                  <c:v>Effect of pipe size (NPS)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xVal>
            <c:numRef>
              <c:f>'H2'!$B$19:$B$39</c:f>
              <c:numCache>
                <c:formatCode>General</c:formatCode>
                <c:ptCount val="21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24</c:v>
                </c:pt>
                <c:pt idx="10">
                  <c:v>26</c:v>
                </c:pt>
                <c:pt idx="11">
                  <c:v>28</c:v>
                </c:pt>
                <c:pt idx="12">
                  <c:v>30</c:v>
                </c:pt>
                <c:pt idx="13">
                  <c:v>32</c:v>
                </c:pt>
                <c:pt idx="14">
                  <c:v>34</c:v>
                </c:pt>
                <c:pt idx="15">
                  <c:v>36</c:v>
                </c:pt>
                <c:pt idx="16">
                  <c:v>40</c:v>
                </c:pt>
                <c:pt idx="17">
                  <c:v>42</c:v>
                </c:pt>
                <c:pt idx="18">
                  <c:v>44</c:v>
                </c:pt>
                <c:pt idx="19">
                  <c:v>46</c:v>
                </c:pt>
                <c:pt idx="20">
                  <c:v>48</c:v>
                </c:pt>
              </c:numCache>
            </c:numRef>
          </c:xVal>
          <c:yVal>
            <c:numRef>
              <c:f>'H2'!$F$19:$F$39</c:f>
              <c:numCache>
                <c:formatCode>0.00</c:formatCode>
                <c:ptCount val="21"/>
                <c:pt idx="0">
                  <c:v>3.8024048279067663E-2</c:v>
                </c:pt>
                <c:pt idx="1">
                  <c:v>8.6321060283953518E-2</c:v>
                </c:pt>
                <c:pt idx="2">
                  <c:v>0.14946318363939504</c:v>
                </c:pt>
                <c:pt idx="3">
                  <c:v>0.23543931995283235</c:v>
                </c:pt>
                <c:pt idx="4">
                  <c:v>0.33444357933084551</c:v>
                </c:pt>
                <c:pt idx="5">
                  <c:v>0.40418292912342257</c:v>
                </c:pt>
                <c:pt idx="6">
                  <c:v>0.5278332291653709</c:v>
                </c:pt>
                <c:pt idx="7">
                  <c:v>0.6674935450812044</c:v>
                </c:pt>
                <c:pt idx="8">
                  <c:v>0.83038064071111484</c:v>
                </c:pt>
                <c:pt idx="9">
                  <c:v>1.2023831646645833</c:v>
                </c:pt>
                <c:pt idx="10">
                  <c:v>1.4643568107350278</c:v>
                </c:pt>
                <c:pt idx="11">
                  <c:v>1.7091823278253633</c:v>
                </c:pt>
                <c:pt idx="12">
                  <c:v>1.9729233143470091</c:v>
                </c:pt>
                <c:pt idx="13">
                  <c:v>2.2011550035260763</c:v>
                </c:pt>
                <c:pt idx="14">
                  <c:v>2.4991812056208627</c:v>
                </c:pt>
                <c:pt idx="15">
                  <c:v>2.7896892482181048</c:v>
                </c:pt>
                <c:pt idx="16">
                  <c:v>3.5681526291579084</c:v>
                </c:pt>
                <c:pt idx="17">
                  <c:v>3.9450155407099294</c:v>
                </c:pt>
                <c:pt idx="18">
                  <c:v>4.3407939216932627</c:v>
                </c:pt>
                <c:pt idx="19">
                  <c:v>4.747174710551989</c:v>
                </c:pt>
                <c:pt idx="20">
                  <c:v>5.1804131388404642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3-4A53-93F4-CA62F1629C2F}"/>
            </c:ext>
          </c:extLst>
        </c:ser>
        <c:ser>
          <c:idx val="2"/>
          <c:order val="1"/>
          <c:tx>
            <c:strRef>
              <c:f>'H2'!$B$41</c:f>
              <c:strCache>
                <c:ptCount val="1"/>
                <c:pt idx="0">
                  <c:v>Effect of pressure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55B9A37-87AC-43E9-A16C-09D8218DF780}" type="CELLRANGE">
                      <a:rPr lang="en-US"/>
                      <a:pPr/>
                      <a:t>[CELLRANGE]</a:t>
                    </a:fld>
                    <a:endParaRPr lang="nl-N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A9B3-4A53-93F4-CA62F1629C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172E5D-A770-4FE0-83AA-187E2C4D616D}" type="CELLRANGE">
                      <a:rPr lang="nl-NL"/>
                      <a:pPr/>
                      <a:t>[CELLRANGE]</a:t>
                    </a:fld>
                    <a:endParaRPr lang="nl-N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9B3-4A53-93F4-CA62F1629C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7CD671-A56A-48E2-BC22-D9C134DB97E2}" type="CELLRANGE">
                      <a:rPr lang="nl-NL"/>
                      <a:pPr/>
                      <a:t>[CELLRANGE]</a:t>
                    </a:fld>
                    <a:endParaRPr lang="nl-N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9B3-4A53-93F4-CA62F1629C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017CAE-FE79-4891-9EEF-D72C04259B3E}" type="CELLRANGE">
                      <a:rPr lang="nl-NL"/>
                      <a:pPr/>
                      <a:t>[CELLRANGE]</a:t>
                    </a:fld>
                    <a:endParaRPr lang="nl-N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9B3-4A53-93F4-CA62F1629C2F}"/>
                </c:ext>
              </c:extLst>
            </c:dLbl>
            <c:dLbl>
              <c:idx val="4"/>
              <c:layout>
                <c:manualLayout>
                  <c:x val="-0.13821137296093203"/>
                  <c:y val="0"/>
                </c:manualLayout>
              </c:layout>
              <c:tx>
                <c:rich>
                  <a:bodyPr/>
                  <a:lstStyle/>
                  <a:p>
                    <a:fld id="{F1A7132C-CD15-480D-BA17-0FEB09A6550A}" type="CELLRANGE">
                      <a:rPr lang="en-US"/>
                      <a:pPr/>
                      <a:t>[CELLRANGE]</a:t>
                    </a:fld>
                    <a:endParaRPr lang="nl-N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A9B3-4A53-93F4-CA62F1629C2F}"/>
                </c:ext>
              </c:extLst>
            </c:dLbl>
            <c:dLbl>
              <c:idx val="5"/>
              <c:layout>
                <c:manualLayout>
                  <c:x val="-0.13821137296093192"/>
                  <c:y val="0"/>
                </c:manualLayout>
              </c:layout>
              <c:tx>
                <c:rich>
                  <a:bodyPr/>
                  <a:lstStyle/>
                  <a:p>
                    <a:fld id="{B6CE47B2-22C6-4A55-B851-E2B2AAD94116}" type="CELLRANGE">
                      <a:rPr lang="en-US"/>
                      <a:pPr/>
                      <a:t>[CELLRANGE]</a:t>
                    </a:fld>
                    <a:endParaRPr lang="nl-N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A9B3-4A53-93F4-CA62F1629C2F}"/>
                </c:ext>
              </c:extLst>
            </c:dLbl>
            <c:dLbl>
              <c:idx val="6"/>
              <c:layout>
                <c:manualLayout>
                  <c:x val="-0.14297728237337787"/>
                  <c:y val="0"/>
                </c:manualLayout>
              </c:layout>
              <c:tx>
                <c:rich>
                  <a:bodyPr/>
                  <a:lstStyle/>
                  <a:p>
                    <a:fld id="{DB11CC95-2DB4-4256-9F33-AC008E6DFC77}" type="CELLRANGE">
                      <a:rPr lang="en-US"/>
                      <a:pPr/>
                      <a:t>[CELLRANGE]</a:t>
                    </a:fld>
                    <a:endParaRPr lang="nl-N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A9B3-4A53-93F4-CA62F1629C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'H2'!$B$45:$B$51</c:f>
              <c:numCache>
                <c:formatCode>General</c:formatCode>
                <c:ptCount val="7"/>
                <c:pt idx="0">
                  <c:v>36</c:v>
                </c:pt>
                <c:pt idx="1">
                  <c:v>36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  <c:pt idx="5">
                  <c:v>36</c:v>
                </c:pt>
                <c:pt idx="6">
                  <c:v>36</c:v>
                </c:pt>
              </c:numCache>
            </c:numRef>
          </c:xVal>
          <c:yVal>
            <c:numRef>
              <c:f>'H2'!$F$45:$F$51</c:f>
              <c:numCache>
                <c:formatCode>0.00</c:formatCode>
                <c:ptCount val="7"/>
                <c:pt idx="0">
                  <c:v>0.72315285689538367</c:v>
                </c:pt>
                <c:pt idx="1">
                  <c:v>1.4289584513646711</c:v>
                </c:pt>
                <c:pt idx="2">
                  <c:v>2.1177093035476013</c:v>
                </c:pt>
                <c:pt idx="3">
                  <c:v>2.7896892482181048</c:v>
                </c:pt>
                <c:pt idx="4">
                  <c:v>3.4451986097860643</c:v>
                </c:pt>
                <c:pt idx="5">
                  <c:v>4.0845651493542432</c:v>
                </c:pt>
                <c:pt idx="6">
                  <c:v>4.708146363753567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'H2'!$XFD$45:$XFD$51</c15:f>
                <c15:dlblRangeCache>
                  <c:ptCount val="7"/>
                  <c:pt idx="0">
                    <c:v>20 barg</c:v>
                  </c:pt>
                  <c:pt idx="1">
                    <c:v>40 barg</c:v>
                  </c:pt>
                  <c:pt idx="2">
                    <c:v>60 barg</c:v>
                  </c:pt>
                  <c:pt idx="3">
                    <c:v>80 barg</c:v>
                  </c:pt>
                  <c:pt idx="4">
                    <c:v>100 barg</c:v>
                  </c:pt>
                  <c:pt idx="5">
                    <c:v>120 barg</c:v>
                  </c:pt>
                  <c:pt idx="6">
                    <c:v>140 barg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A9B3-4A53-93F4-CA62F1629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502792"/>
        <c:axId val="358503776"/>
      </c:scatterChart>
      <c:valAx>
        <c:axId val="358502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/>
                  <a:t>Nominal</a:t>
                </a:r>
                <a:r>
                  <a:rPr lang="nl-NL" sz="1400" baseline="0"/>
                  <a:t> Pipe Size (NPS) [inch]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58503776"/>
        <c:crosses val="autoZero"/>
        <c:crossBetween val="midCat"/>
      </c:valAx>
      <c:valAx>
        <c:axId val="35850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600"/>
                  <a:t>Transport Capacity [GW</a:t>
                </a:r>
                <a:r>
                  <a:rPr lang="nl-NL" sz="1600" baseline="-25000"/>
                  <a:t>th</a:t>
                </a:r>
                <a:r>
                  <a:rPr lang="nl-NL" sz="1600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58502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64263072195272"/>
          <c:y val="4.1446883499213126E-2"/>
          <c:w val="0.28549411034919103"/>
          <c:h val="0.12178497644408735"/>
        </c:manualLayout>
      </c:layout>
      <c:overlay val="1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571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H2_data!$D$10</c:f>
              <c:strCache>
                <c:ptCount val="1"/>
                <c:pt idx="0">
                  <c:v>Density (kg/m3)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7264785651793527"/>
                  <c:y val="9.029199475065616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l-NL"/>
                </a:p>
              </c:txPr>
            </c:trendlineLbl>
          </c:trendline>
          <c:xVal>
            <c:numRef>
              <c:f>H2_data!$C$11:$C$27</c:f>
              <c:numCache>
                <c:formatCode>General</c:formatCode>
                <c:ptCount val="17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</c:numCache>
            </c:numRef>
          </c:xVal>
          <c:yVal>
            <c:numRef>
              <c:f>H2_data!$D$11:$D$27</c:f>
              <c:numCache>
                <c:formatCode>General</c:formatCode>
                <c:ptCount val="17"/>
                <c:pt idx="0">
                  <c:v>1.6920999999999999</c:v>
                </c:pt>
                <c:pt idx="1">
                  <c:v>2.1086999999999998</c:v>
                </c:pt>
                <c:pt idx="2">
                  <c:v>2.5228000000000002</c:v>
                </c:pt>
                <c:pt idx="3">
                  <c:v>2.9344000000000001</c:v>
                </c:pt>
                <c:pt idx="4">
                  <c:v>3.3435000000000001</c:v>
                </c:pt>
                <c:pt idx="5">
                  <c:v>3.7501000000000002</c:v>
                </c:pt>
                <c:pt idx="6">
                  <c:v>4.1542000000000003</c:v>
                </c:pt>
                <c:pt idx="7">
                  <c:v>4.5559000000000003</c:v>
                </c:pt>
                <c:pt idx="8">
                  <c:v>4.9550999999999998</c:v>
                </c:pt>
                <c:pt idx="9">
                  <c:v>5.3517999999999999</c:v>
                </c:pt>
                <c:pt idx="10">
                  <c:v>5.7461000000000002</c:v>
                </c:pt>
                <c:pt idx="11">
                  <c:v>6.1379999999999999</c:v>
                </c:pt>
                <c:pt idx="12">
                  <c:v>6.5274000000000001</c:v>
                </c:pt>
                <c:pt idx="13">
                  <c:v>6.9143999999999997</c:v>
                </c:pt>
                <c:pt idx="14">
                  <c:v>7.2991000000000001</c:v>
                </c:pt>
                <c:pt idx="15">
                  <c:v>7.6813000000000002</c:v>
                </c:pt>
                <c:pt idx="16">
                  <c:v>8.0611999999999995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9A-4EED-9D57-CF4CB1E17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66888"/>
        <c:axId val="208869840"/>
      </c:scatterChart>
      <c:valAx>
        <c:axId val="208866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08869840"/>
        <c:crosses val="autoZero"/>
        <c:crossBetween val="midCat"/>
      </c:valAx>
      <c:valAx>
        <c:axId val="20886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08866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22412</xdr:colOff>
      <xdr:row>0</xdr:row>
      <xdr:rowOff>22413</xdr:rowOff>
    </xdr:from>
    <xdr:to>
      <xdr:col>18</xdr:col>
      <xdr:colOff>208430</xdr:colOff>
      <xdr:row>17</xdr:row>
      <xdr:rowOff>134473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DBEE85-960C-4AC3-8E3F-0E38ADF4EF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179294</xdr:colOff>
      <xdr:row>0</xdr:row>
      <xdr:rowOff>145678</xdr:rowOff>
    </xdr:from>
    <xdr:to>
      <xdr:col>2</xdr:col>
      <xdr:colOff>591813</xdr:colOff>
      <xdr:row>3</xdr:row>
      <xdr:rowOff>8991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5B837D7-6BF6-4121-AAA7-948E021B8E9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930" r="9809" b="21907"/>
        <a:stretch/>
      </xdr:blipFill>
      <xdr:spPr bwMode="auto">
        <a:xfrm>
          <a:off x="179294" y="145678"/>
          <a:ext cx="1241754" cy="43481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295275</xdr:colOff>
      <xdr:row>9</xdr:row>
      <xdr:rowOff>180975</xdr:rowOff>
    </xdr:from>
    <xdr:to>
      <xdr:col>22</xdr:col>
      <xdr:colOff>600075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60BA07-88C9-40A8-8442-3C8879843A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78"/>
  <sheetViews>
    <sheetView showGridLines="0" tabSelected="1" zoomScaleNormal="100" workbookViewId="0">
      <selection activeCell="N29" sqref="N29"/>
    </sheetView>
  </sheetViews>
  <sheetFormatPr defaultRowHeight="15" x14ac:dyDescent="0.25"/>
  <cols>
    <col min="1" max="1" width="4.42578125" customWidth="1"/>
    <col min="2" max="2" width="8" customWidth="1"/>
    <col min="3" max="3" width="9.28515625" customWidth="1"/>
    <col min="4" max="4" width="10.42578125" customWidth="1"/>
    <col min="5" max="6" width="12.28515625" bestFit="1" customWidth="1"/>
    <col min="7" max="7" width="11.85546875" bestFit="1" customWidth="1"/>
    <col min="8" max="8" width="11.7109375" customWidth="1"/>
    <col min="9" max="9" width="4" customWidth="1"/>
    <col min="18" max="18" width="4.5703125" customWidth="1"/>
    <col min="19" max="19" width="5.140625" customWidth="1"/>
    <col min="20" max="21" width="11.5703125" customWidth="1"/>
    <col min="22" max="22" width="11.85546875" customWidth="1"/>
    <col min="23" max="23" width="6.140625" customWidth="1"/>
    <col min="24" max="25" width="10.28515625" customWidth="1"/>
    <col min="26" max="27" width="15.42578125" customWidth="1"/>
    <col min="28" max="29" width="16" customWidth="1"/>
    <col min="31" max="31" width="8.5703125" bestFit="1" customWidth="1"/>
  </cols>
  <sheetData>
    <row r="1" spans="2:25" x14ac:dyDescent="0.25">
      <c r="D1" s="35" t="s">
        <v>79</v>
      </c>
    </row>
    <row r="2" spans="2:25" x14ac:dyDescent="0.25">
      <c r="D2" s="35" t="s">
        <v>69</v>
      </c>
    </row>
    <row r="3" spans="2:25" x14ac:dyDescent="0.25">
      <c r="B3" s="18"/>
      <c r="C3" s="18"/>
      <c r="D3" s="29" t="s">
        <v>70</v>
      </c>
      <c r="E3" s="18"/>
      <c r="F3" s="18"/>
      <c r="H3" s="18"/>
      <c r="J3" s="18"/>
      <c r="K3" s="18"/>
      <c r="L3" s="18"/>
      <c r="M3" s="18"/>
      <c r="N3" s="18"/>
      <c r="O3" s="18"/>
    </row>
    <row r="4" spans="2:25" x14ac:dyDescent="0.25">
      <c r="B4" s="29"/>
      <c r="C4" s="19"/>
      <c r="D4" s="18"/>
      <c r="E4" s="19"/>
      <c r="F4" s="18"/>
      <c r="H4" s="18"/>
      <c r="J4" s="18"/>
      <c r="K4" s="18"/>
      <c r="L4" s="18"/>
      <c r="M4" s="18"/>
      <c r="N4" s="18"/>
      <c r="O4" s="18"/>
    </row>
    <row r="5" spans="2:25" x14ac:dyDescent="0.25">
      <c r="B5" s="29" t="s">
        <v>71</v>
      </c>
      <c r="C5" s="19"/>
      <c r="D5" s="18"/>
      <c r="E5" s="19"/>
      <c r="F5" s="18"/>
      <c r="H5" s="18"/>
      <c r="J5" s="18"/>
      <c r="K5" s="18"/>
      <c r="L5" s="18"/>
      <c r="M5" s="18"/>
      <c r="N5" s="18"/>
      <c r="O5" s="18"/>
    </row>
    <row r="6" spans="2:25" x14ac:dyDescent="0.25">
      <c r="B6" s="29" t="s">
        <v>66</v>
      </c>
      <c r="C6" s="19"/>
      <c r="D6" s="18"/>
      <c r="E6" s="19"/>
      <c r="F6" s="18"/>
      <c r="H6" s="18"/>
      <c r="J6" s="18"/>
      <c r="K6" s="18"/>
      <c r="L6" s="18"/>
      <c r="M6" s="18"/>
      <c r="N6" s="18"/>
      <c r="O6" s="18"/>
    </row>
    <row r="7" spans="2:25" x14ac:dyDescent="0.25">
      <c r="B7" s="29" t="s">
        <v>90</v>
      </c>
      <c r="C7" s="19"/>
      <c r="D7" s="18"/>
      <c r="E7" s="19"/>
      <c r="F7" s="18"/>
      <c r="H7" s="18"/>
      <c r="J7" s="18"/>
      <c r="K7" s="18"/>
      <c r="L7" s="18"/>
      <c r="M7" s="18"/>
      <c r="N7" s="18"/>
      <c r="O7" s="18"/>
    </row>
    <row r="8" spans="2:25" x14ac:dyDescent="0.25">
      <c r="B8" s="29" t="s">
        <v>67</v>
      </c>
      <c r="C8" s="19"/>
      <c r="D8" s="18"/>
      <c r="E8" s="19"/>
      <c r="F8" s="18"/>
      <c r="H8" s="18"/>
      <c r="J8" s="18"/>
      <c r="K8" s="18"/>
      <c r="L8" s="18"/>
      <c r="M8" s="18"/>
      <c r="N8" s="18"/>
      <c r="O8" s="18"/>
    </row>
    <row r="9" spans="2:25" x14ac:dyDescent="0.25">
      <c r="B9" s="36" t="s">
        <v>75</v>
      </c>
      <c r="C9" s="18"/>
      <c r="D9" s="18"/>
      <c r="E9" s="18"/>
      <c r="F9" s="18"/>
      <c r="H9" s="18"/>
      <c r="J9" s="18"/>
      <c r="K9" s="18"/>
      <c r="L9" s="18"/>
      <c r="M9" s="18"/>
      <c r="N9" s="18"/>
      <c r="O9" s="18"/>
    </row>
    <row r="10" spans="2:25" ht="15.75" thickBot="1" x14ac:dyDescent="0.3">
      <c r="B10" s="18"/>
      <c r="C10" s="18"/>
      <c r="D10" s="18"/>
      <c r="E10" s="18"/>
      <c r="F10" s="18"/>
      <c r="H10" s="18"/>
      <c r="J10" s="18"/>
      <c r="K10" s="18"/>
      <c r="L10" s="18"/>
      <c r="M10" s="18"/>
      <c r="N10" s="18"/>
      <c r="O10" s="18"/>
    </row>
    <row r="11" spans="2:25" x14ac:dyDescent="0.25">
      <c r="B11" s="52" t="s">
        <v>65</v>
      </c>
      <c r="C11" s="30" t="s">
        <v>60</v>
      </c>
      <c r="D11" s="31">
        <v>80</v>
      </c>
      <c r="E11" s="37" t="s">
        <v>9</v>
      </c>
      <c r="F11" s="39">
        <f>VLOOKUP($D$12,$B$19:$H$39,5,FALSE)</f>
        <v>2.7896892482181048</v>
      </c>
      <c r="G11" s="43" t="s">
        <v>73</v>
      </c>
      <c r="H11" s="54" t="s">
        <v>74</v>
      </c>
      <c r="Y11" s="41" t="s">
        <v>78</v>
      </c>
    </row>
    <row r="12" spans="2:25" ht="15.75" thickBot="1" x14ac:dyDescent="0.3">
      <c r="B12" s="53"/>
      <c r="C12" s="32" t="s">
        <v>61</v>
      </c>
      <c r="D12" s="33">
        <v>36</v>
      </c>
      <c r="E12" s="38" t="s">
        <v>64</v>
      </c>
      <c r="F12" s="40">
        <f>VLOOKUP($D$12,$B$19:$H$39,6,FALSE)</f>
        <v>87.975640131806159</v>
      </c>
      <c r="G12" s="44" t="s">
        <v>72</v>
      </c>
      <c r="H12" s="55"/>
    </row>
    <row r="13" spans="2:25" ht="15.75" thickBot="1" x14ac:dyDescent="0.3">
      <c r="C13" s="47" t="s">
        <v>85</v>
      </c>
      <c r="D13" s="48">
        <v>10</v>
      </c>
      <c r="Y13" t="s">
        <v>77</v>
      </c>
    </row>
    <row r="14" spans="2:25" ht="15.75" thickBot="1" x14ac:dyDescent="0.3">
      <c r="C14" s="47" t="s">
        <v>89</v>
      </c>
      <c r="D14" s="51">
        <v>5</v>
      </c>
    </row>
    <row r="15" spans="2:25" ht="15.75" x14ac:dyDescent="0.25">
      <c r="B15" s="34" t="s">
        <v>68</v>
      </c>
    </row>
    <row r="17" spans="1:29" x14ac:dyDescent="0.25">
      <c r="B17" s="23" t="s">
        <v>21</v>
      </c>
      <c r="C17" s="23" t="s">
        <v>0</v>
      </c>
      <c r="D17" s="21" t="s">
        <v>19</v>
      </c>
      <c r="E17" s="21" t="s">
        <v>47</v>
      </c>
      <c r="F17" s="21" t="s">
        <v>47</v>
      </c>
      <c r="G17" s="21" t="s">
        <v>56</v>
      </c>
      <c r="H17" s="21" t="s">
        <v>56</v>
      </c>
      <c r="R17" s="4" t="s">
        <v>21</v>
      </c>
      <c r="S17" s="4" t="s">
        <v>0</v>
      </c>
      <c r="T17" s="1" t="s">
        <v>15</v>
      </c>
      <c r="U17" s="1" t="s">
        <v>16</v>
      </c>
      <c r="V17" s="6" t="s">
        <v>17</v>
      </c>
      <c r="W17" s="6" t="s">
        <v>29</v>
      </c>
      <c r="X17" s="1" t="s">
        <v>19</v>
      </c>
      <c r="Y17" s="6" t="s">
        <v>19</v>
      </c>
      <c r="Z17" s="6" t="s">
        <v>47</v>
      </c>
      <c r="AA17" s="6" t="s">
        <v>47</v>
      </c>
      <c r="AB17" s="6" t="s">
        <v>56</v>
      </c>
      <c r="AC17" s="6" t="s">
        <v>56</v>
      </c>
    </row>
    <row r="18" spans="1:29" s="3" customFormat="1" x14ac:dyDescent="0.25">
      <c r="A18" s="2"/>
      <c r="B18" s="23" t="s">
        <v>10</v>
      </c>
      <c r="C18" s="23" t="s">
        <v>10</v>
      </c>
      <c r="D18" s="22" t="s">
        <v>30</v>
      </c>
      <c r="E18" s="23" t="s">
        <v>58</v>
      </c>
      <c r="F18" s="23" t="s">
        <v>63</v>
      </c>
      <c r="G18" s="23" t="s">
        <v>57</v>
      </c>
      <c r="H18" s="23" t="s">
        <v>62</v>
      </c>
      <c r="R18" s="4" t="s">
        <v>10</v>
      </c>
      <c r="S18" s="4" t="s">
        <v>10</v>
      </c>
      <c r="T18" s="5" t="s">
        <v>9</v>
      </c>
      <c r="U18" s="5" t="s">
        <v>8</v>
      </c>
      <c r="V18" s="5" t="s">
        <v>18</v>
      </c>
      <c r="W18" s="28" t="s">
        <v>7</v>
      </c>
      <c r="X18" s="9" t="s">
        <v>20</v>
      </c>
      <c r="Y18" s="9" t="s">
        <v>30</v>
      </c>
      <c r="Z18" s="5" t="s">
        <v>58</v>
      </c>
      <c r="AA18" s="11" t="s">
        <v>63</v>
      </c>
      <c r="AB18" s="5" t="s">
        <v>57</v>
      </c>
      <c r="AC18" s="5" t="s">
        <v>62</v>
      </c>
    </row>
    <row r="19" spans="1:29" x14ac:dyDescent="0.25">
      <c r="B19" s="23">
        <v>4</v>
      </c>
      <c r="C19" s="23">
        <v>100</v>
      </c>
      <c r="D19" s="24">
        <f>Y19</f>
        <v>964.94130695505123</v>
      </c>
      <c r="E19" s="27">
        <f>Z19</f>
        <v>0.13688657380464359</v>
      </c>
      <c r="F19" s="27">
        <f>AA19</f>
        <v>3.8024048279067663E-2</v>
      </c>
      <c r="G19" s="25">
        <f t="shared" ref="G19:G39" si="0">E19*24*365/(10^3)</f>
        <v>1.1991263865286779</v>
      </c>
      <c r="H19" s="25">
        <f>G19*10^15/10^12*1/3600</f>
        <v>0.33309066292463274</v>
      </c>
      <c r="R19" s="4">
        <v>4</v>
      </c>
      <c r="S19" s="1">
        <v>100</v>
      </c>
      <c r="T19" s="4">
        <f t="shared" ref="T19:T39" si="1">$D$11</f>
        <v>80</v>
      </c>
      <c r="U19" s="4">
        <f>$D$13</f>
        <v>10</v>
      </c>
      <c r="V19" s="4">
        <f>$D$14</f>
        <v>5</v>
      </c>
      <c r="W19" s="10">
        <f>Pipe_data!K10</f>
        <v>102.25999999999999</v>
      </c>
      <c r="X19" s="10">
        <f t="shared" ref="X19:X39" si="2">PI()/4*(W19/10^3)^2*V19*3600</f>
        <v>147.83387586281094</v>
      </c>
      <c r="Y19" s="42">
        <f t="shared" ref="Y19:Y39" si="3">X19*INTERPOLATE2D(T19/10,U19,HydroDensityTable)</f>
        <v>964.94130695505123</v>
      </c>
      <c r="Z19" s="16">
        <f>Y19*H2_data!$E$37/10^6</f>
        <v>0.13688657380464359</v>
      </c>
      <c r="AA19" s="16">
        <f>Z19/3600*10^3</f>
        <v>3.8024048279067663E-2</v>
      </c>
      <c r="AB19" s="17">
        <f t="shared" ref="AB19:AB39" si="4">Z19*24*365/(10^3)</f>
        <v>1.1991263865286779</v>
      </c>
      <c r="AC19" s="17">
        <f>AB19*10^15/10^12*1/3600</f>
        <v>0.33309066292463274</v>
      </c>
    </row>
    <row r="20" spans="1:29" x14ac:dyDescent="0.25">
      <c r="B20" s="23">
        <f>B19+2</f>
        <v>6</v>
      </c>
      <c r="C20" s="23">
        <v>150</v>
      </c>
      <c r="D20" s="24">
        <f t="shared" ref="D20:D39" si="5">Y20</f>
        <v>2190.5809743566374</v>
      </c>
      <c r="E20" s="27">
        <f t="shared" ref="E20:F39" si="6">Z20</f>
        <v>0.31075581702223265</v>
      </c>
      <c r="F20" s="27">
        <f t="shared" si="6"/>
        <v>8.6321060283953518E-2</v>
      </c>
      <c r="G20" s="25">
        <f t="shared" si="0"/>
        <v>2.7222209571147582</v>
      </c>
      <c r="H20" s="25">
        <f t="shared" ref="H20:H39" si="7">G20*10^15/10^12*1/3600</f>
        <v>0.75617248808743287</v>
      </c>
      <c r="R20" s="4">
        <f>R19+2</f>
        <v>6</v>
      </c>
      <c r="S20" s="1">
        <v>150</v>
      </c>
      <c r="T20" s="4">
        <f t="shared" si="1"/>
        <v>80</v>
      </c>
      <c r="U20" s="4">
        <f t="shared" ref="U20:U39" si="8">$D$13</f>
        <v>10</v>
      </c>
      <c r="V20" s="4">
        <f t="shared" ref="V20:V39" si="9">$D$14</f>
        <v>5</v>
      </c>
      <c r="W20" s="10">
        <f>Pipe_data!K11</f>
        <v>154.07600000000002</v>
      </c>
      <c r="X20" s="10">
        <f t="shared" si="2"/>
        <v>335.60805563644476</v>
      </c>
      <c r="Y20" s="42">
        <f t="shared" si="3"/>
        <v>2190.5809743566374</v>
      </c>
      <c r="Z20" s="16">
        <f>Y20*H2_data!$E$37/10^6</f>
        <v>0.31075581702223265</v>
      </c>
      <c r="AA20" s="16">
        <f t="shared" ref="AA20:AA39" si="10">Z20/3600*10^3</f>
        <v>8.6321060283953518E-2</v>
      </c>
      <c r="AB20" s="17">
        <f t="shared" si="4"/>
        <v>2.7222209571147582</v>
      </c>
      <c r="AC20" s="17">
        <f t="shared" ref="AC20:AC39" si="11">AB20*10^15/10^12*1/3600</f>
        <v>0.75617248808743287</v>
      </c>
    </row>
    <row r="21" spans="1:29" x14ac:dyDescent="0.25">
      <c r="B21" s="23">
        <f t="shared" ref="B21:B27" si="12">B20+2</f>
        <v>8</v>
      </c>
      <c r="C21" s="23">
        <v>200</v>
      </c>
      <c r="D21" s="24">
        <f t="shared" si="5"/>
        <v>3792.9469977570989</v>
      </c>
      <c r="E21" s="27">
        <f t="shared" si="6"/>
        <v>0.53806746110182213</v>
      </c>
      <c r="F21" s="27">
        <f t="shared" si="6"/>
        <v>0.14946318363939504</v>
      </c>
      <c r="G21" s="25">
        <f t="shared" si="0"/>
        <v>4.7134709592519624</v>
      </c>
      <c r="H21" s="25">
        <f t="shared" si="7"/>
        <v>1.3092974886811006</v>
      </c>
      <c r="R21" s="4">
        <f t="shared" ref="R21:R39" si="13">R20+2</f>
        <v>8</v>
      </c>
      <c r="S21" s="1">
        <v>200</v>
      </c>
      <c r="T21" s="4">
        <f t="shared" si="1"/>
        <v>80</v>
      </c>
      <c r="U21" s="4">
        <f t="shared" si="8"/>
        <v>10</v>
      </c>
      <c r="V21" s="4">
        <f t="shared" si="9"/>
        <v>5</v>
      </c>
      <c r="W21" s="10">
        <f>Pipe_data!K12</f>
        <v>202.74199999999999</v>
      </c>
      <c r="X21" s="10">
        <f t="shared" si="2"/>
        <v>581.09861354164627</v>
      </c>
      <c r="Y21" s="42">
        <f t="shared" si="3"/>
        <v>3792.9469977570989</v>
      </c>
      <c r="Z21" s="16">
        <f>Y21*H2_data!$E$37/10^6</f>
        <v>0.53806746110182213</v>
      </c>
      <c r="AA21" s="16">
        <f t="shared" si="10"/>
        <v>0.14946318363939504</v>
      </c>
      <c r="AB21" s="17">
        <f t="shared" si="4"/>
        <v>4.7134709592519624</v>
      </c>
      <c r="AC21" s="17">
        <f t="shared" si="11"/>
        <v>1.3092974886811006</v>
      </c>
    </row>
    <row r="22" spans="1:29" x14ac:dyDescent="0.25">
      <c r="B22" s="23">
        <f t="shared" si="12"/>
        <v>10</v>
      </c>
      <c r="C22" s="23">
        <v>250</v>
      </c>
      <c r="D22" s="24">
        <f t="shared" si="5"/>
        <v>5974.7747908515175</v>
      </c>
      <c r="E22" s="27">
        <f t="shared" si="6"/>
        <v>0.84758155183019646</v>
      </c>
      <c r="F22" s="27">
        <f t="shared" si="6"/>
        <v>0.23543931995283235</v>
      </c>
      <c r="G22" s="25">
        <f t="shared" si="0"/>
        <v>7.4248143940325209</v>
      </c>
      <c r="H22" s="25">
        <f t="shared" si="7"/>
        <v>2.0624484427868115</v>
      </c>
      <c r="R22" s="4">
        <f t="shared" si="13"/>
        <v>10</v>
      </c>
      <c r="S22" s="1">
        <v>250</v>
      </c>
      <c r="T22" s="4">
        <f t="shared" si="1"/>
        <v>80</v>
      </c>
      <c r="U22" s="4">
        <f t="shared" si="8"/>
        <v>10</v>
      </c>
      <c r="V22" s="4">
        <f t="shared" si="9"/>
        <v>5</v>
      </c>
      <c r="W22" s="10">
        <f>Pipe_data!K13</f>
        <v>254.458</v>
      </c>
      <c r="X22" s="10">
        <f t="shared" si="2"/>
        <v>915.36563765337905</v>
      </c>
      <c r="Y22" s="42">
        <f t="shared" si="3"/>
        <v>5974.7747908515175</v>
      </c>
      <c r="Z22" s="16">
        <f>Y22*H2_data!$E$37/10^6</f>
        <v>0.84758155183019646</v>
      </c>
      <c r="AA22" s="16">
        <f t="shared" si="10"/>
        <v>0.23543931995283235</v>
      </c>
      <c r="AB22" s="17">
        <f t="shared" si="4"/>
        <v>7.4248143940325209</v>
      </c>
      <c r="AC22" s="17">
        <f t="shared" si="11"/>
        <v>2.0624484427868115</v>
      </c>
    </row>
    <row r="23" spans="1:29" x14ac:dyDescent="0.25">
      <c r="B23" s="23">
        <f t="shared" si="12"/>
        <v>12</v>
      </c>
      <c r="C23" s="23">
        <v>300</v>
      </c>
      <c r="D23" s="24">
        <f t="shared" si="5"/>
        <v>8487.2189876712509</v>
      </c>
      <c r="E23" s="27">
        <f t="shared" si="6"/>
        <v>1.2039968855910439</v>
      </c>
      <c r="F23" s="27">
        <f t="shared" si="6"/>
        <v>0.33444357933084551</v>
      </c>
      <c r="G23" s="25">
        <f t="shared" si="0"/>
        <v>10.547012717777543</v>
      </c>
      <c r="H23" s="25">
        <f t="shared" si="7"/>
        <v>2.9297257549382061</v>
      </c>
      <c r="R23" s="4">
        <f t="shared" si="13"/>
        <v>12</v>
      </c>
      <c r="S23" s="1">
        <v>300</v>
      </c>
      <c r="T23" s="4">
        <f t="shared" si="1"/>
        <v>80</v>
      </c>
      <c r="U23" s="4">
        <f t="shared" si="8"/>
        <v>10</v>
      </c>
      <c r="V23" s="4">
        <f t="shared" si="9"/>
        <v>5</v>
      </c>
      <c r="W23" s="10">
        <f>Pipe_data!K14</f>
        <v>303.27599999999995</v>
      </c>
      <c r="X23" s="10">
        <f t="shared" si="2"/>
        <v>1300.2847626071518</v>
      </c>
      <c r="Y23" s="42">
        <f t="shared" si="3"/>
        <v>8487.2189876712509</v>
      </c>
      <c r="Z23" s="16">
        <f>Y23*H2_data!$E$37/10^6</f>
        <v>1.2039968855910439</v>
      </c>
      <c r="AA23" s="16">
        <f t="shared" si="10"/>
        <v>0.33444357933084551</v>
      </c>
      <c r="AB23" s="17">
        <f t="shared" si="4"/>
        <v>10.547012717777543</v>
      </c>
      <c r="AC23" s="17">
        <f t="shared" si="11"/>
        <v>2.9297257549382061</v>
      </c>
    </row>
    <row r="24" spans="1:29" x14ac:dyDescent="0.25">
      <c r="B24" s="23">
        <f t="shared" si="12"/>
        <v>14</v>
      </c>
      <c r="C24" s="23">
        <v>350</v>
      </c>
      <c r="D24" s="24">
        <f t="shared" si="5"/>
        <v>10257.003699734394</v>
      </c>
      <c r="E24" s="27">
        <f t="shared" si="6"/>
        <v>1.4550585448443212</v>
      </c>
      <c r="F24" s="27">
        <f t="shared" si="6"/>
        <v>0.40418292912342257</v>
      </c>
      <c r="G24" s="25">
        <f t="shared" si="0"/>
        <v>12.746312852836255</v>
      </c>
      <c r="H24" s="25">
        <f t="shared" si="7"/>
        <v>3.5406424591211816</v>
      </c>
      <c r="R24" s="4">
        <f t="shared" si="13"/>
        <v>14</v>
      </c>
      <c r="S24" s="1">
        <v>350</v>
      </c>
      <c r="T24" s="4">
        <f t="shared" si="1"/>
        <v>80</v>
      </c>
      <c r="U24" s="4">
        <f t="shared" si="8"/>
        <v>10</v>
      </c>
      <c r="V24" s="4">
        <f t="shared" si="9"/>
        <v>5</v>
      </c>
      <c r="W24" s="10">
        <f>Pipe_data!K15</f>
        <v>333.40000000000003</v>
      </c>
      <c r="X24" s="10">
        <f t="shared" si="2"/>
        <v>1571.4247081574679</v>
      </c>
      <c r="Y24" s="42">
        <f t="shared" si="3"/>
        <v>10257.003699734394</v>
      </c>
      <c r="Z24" s="16">
        <f>Y24*H2_data!$E$37/10^6</f>
        <v>1.4550585448443212</v>
      </c>
      <c r="AA24" s="16">
        <f t="shared" si="10"/>
        <v>0.40418292912342257</v>
      </c>
      <c r="AB24" s="17">
        <f t="shared" si="4"/>
        <v>12.746312852836255</v>
      </c>
      <c r="AC24" s="17">
        <f t="shared" si="11"/>
        <v>3.5406424591211816</v>
      </c>
    </row>
    <row r="25" spans="1:29" x14ac:dyDescent="0.25">
      <c r="B25" s="23">
        <f t="shared" si="12"/>
        <v>16</v>
      </c>
      <c r="C25" s="23">
        <v>400</v>
      </c>
      <c r="D25" s="24">
        <f t="shared" si="5"/>
        <v>13394.893733225257</v>
      </c>
      <c r="E25" s="27">
        <f t="shared" si="6"/>
        <v>1.9001996249953352</v>
      </c>
      <c r="F25" s="27">
        <f t="shared" si="6"/>
        <v>0.5278332291653709</v>
      </c>
      <c r="G25" s="25">
        <f t="shared" si="0"/>
        <v>16.645748714959137</v>
      </c>
      <c r="H25" s="25">
        <f t="shared" si="7"/>
        <v>4.6238190874886493</v>
      </c>
      <c r="R25" s="4">
        <f t="shared" si="13"/>
        <v>16</v>
      </c>
      <c r="S25" s="1">
        <v>400</v>
      </c>
      <c r="T25" s="4">
        <f t="shared" si="1"/>
        <v>80</v>
      </c>
      <c r="U25" s="4">
        <f t="shared" si="8"/>
        <v>10</v>
      </c>
      <c r="V25" s="4">
        <f t="shared" si="9"/>
        <v>5</v>
      </c>
      <c r="W25" s="10">
        <f>Pipe_data!K16</f>
        <v>381</v>
      </c>
      <c r="X25" s="10">
        <f t="shared" si="2"/>
        <v>2052.1652903448658</v>
      </c>
      <c r="Y25" s="42">
        <f t="shared" si="3"/>
        <v>13394.893733225257</v>
      </c>
      <c r="Z25" s="16">
        <f>Y25*H2_data!$E$37/10^6</f>
        <v>1.9001996249953352</v>
      </c>
      <c r="AA25" s="16">
        <f t="shared" si="10"/>
        <v>0.5278332291653709</v>
      </c>
      <c r="AB25" s="17">
        <f t="shared" si="4"/>
        <v>16.645748714959137</v>
      </c>
      <c r="AC25" s="17">
        <f t="shared" si="11"/>
        <v>4.6238190874886493</v>
      </c>
    </row>
    <row r="26" spans="1:29" x14ac:dyDescent="0.25">
      <c r="B26" s="23">
        <f t="shared" si="12"/>
        <v>18</v>
      </c>
      <c r="C26" s="23">
        <v>450</v>
      </c>
      <c r="D26" s="24">
        <f t="shared" si="5"/>
        <v>16939.072059018297</v>
      </c>
      <c r="E26" s="27">
        <f t="shared" si="6"/>
        <v>2.4029767622923357</v>
      </c>
      <c r="F26" s="27">
        <f t="shared" si="6"/>
        <v>0.6674935450812044</v>
      </c>
      <c r="G26" s="25">
        <f t="shared" si="0"/>
        <v>21.050076437680861</v>
      </c>
      <c r="H26" s="25">
        <f t="shared" si="7"/>
        <v>5.8472434549113492</v>
      </c>
      <c r="R26" s="4">
        <f t="shared" si="13"/>
        <v>18</v>
      </c>
      <c r="S26" s="1">
        <v>450</v>
      </c>
      <c r="T26" s="4">
        <f t="shared" si="1"/>
        <v>80</v>
      </c>
      <c r="U26" s="4">
        <f t="shared" si="8"/>
        <v>10</v>
      </c>
      <c r="V26" s="4">
        <f t="shared" si="9"/>
        <v>5</v>
      </c>
      <c r="W26" s="10">
        <f>Pipe_data!K17</f>
        <v>428.45</v>
      </c>
      <c r="X26" s="10">
        <f t="shared" si="2"/>
        <v>2595.1512884304052</v>
      </c>
      <c r="Y26" s="42">
        <f t="shared" si="3"/>
        <v>16939.072059018297</v>
      </c>
      <c r="Z26" s="16">
        <f>Y26*H2_data!$E$37/10^6</f>
        <v>2.4029767622923357</v>
      </c>
      <c r="AA26" s="16">
        <f t="shared" si="10"/>
        <v>0.6674935450812044</v>
      </c>
      <c r="AB26" s="17">
        <f t="shared" si="4"/>
        <v>21.050076437680861</v>
      </c>
      <c r="AC26" s="17">
        <f t="shared" si="11"/>
        <v>5.8472434549113492</v>
      </c>
    </row>
    <row r="27" spans="1:29" x14ac:dyDescent="0.25">
      <c r="B27" s="23">
        <f t="shared" si="12"/>
        <v>20</v>
      </c>
      <c r="C27" s="23">
        <v>500</v>
      </c>
      <c r="D27" s="24">
        <f t="shared" si="5"/>
        <v>21072.679448470415</v>
      </c>
      <c r="E27" s="27">
        <f t="shared" si="6"/>
        <v>2.9893703065600135</v>
      </c>
      <c r="F27" s="27">
        <f t="shared" si="6"/>
        <v>0.83038064071111484</v>
      </c>
      <c r="G27" s="25">
        <f t="shared" si="0"/>
        <v>26.186883885465715</v>
      </c>
      <c r="H27" s="25">
        <f t="shared" si="7"/>
        <v>7.2741344126293654</v>
      </c>
      <c r="R27" s="4">
        <f t="shared" si="13"/>
        <v>20</v>
      </c>
      <c r="S27" s="1">
        <v>500</v>
      </c>
      <c r="T27" s="4">
        <f t="shared" si="1"/>
        <v>80</v>
      </c>
      <c r="U27" s="4">
        <f t="shared" si="8"/>
        <v>10</v>
      </c>
      <c r="V27" s="4">
        <f t="shared" si="9"/>
        <v>5</v>
      </c>
      <c r="W27" s="10">
        <f>Pipe_data!K18</f>
        <v>477.87599999999998</v>
      </c>
      <c r="X27" s="10">
        <f t="shared" si="2"/>
        <v>3228.4407924378525</v>
      </c>
      <c r="Y27" s="42">
        <f t="shared" si="3"/>
        <v>21072.679448470415</v>
      </c>
      <c r="Z27" s="16">
        <f>Y27*H2_data!$E$37/10^6</f>
        <v>2.9893703065600135</v>
      </c>
      <c r="AA27" s="16">
        <f t="shared" si="10"/>
        <v>0.83038064071111484</v>
      </c>
      <c r="AB27" s="17">
        <f t="shared" si="4"/>
        <v>26.186883885465715</v>
      </c>
      <c r="AC27" s="17">
        <f t="shared" si="11"/>
        <v>7.2741344126293654</v>
      </c>
    </row>
    <row r="28" spans="1:29" x14ac:dyDescent="0.25">
      <c r="B28" s="23">
        <v>24</v>
      </c>
      <c r="C28" s="23">
        <v>600</v>
      </c>
      <c r="D28" s="24">
        <f t="shared" si="5"/>
        <v>30513.036746034817</v>
      </c>
      <c r="E28" s="27">
        <f t="shared" si="6"/>
        <v>4.3285793927924994</v>
      </c>
      <c r="F28" s="27">
        <f t="shared" si="6"/>
        <v>1.2023831646645833</v>
      </c>
      <c r="G28" s="25">
        <f t="shared" si="0"/>
        <v>37.918355480862296</v>
      </c>
      <c r="H28" s="25">
        <f t="shared" si="7"/>
        <v>10.532876522461748</v>
      </c>
      <c r="R28" s="4">
        <v>24</v>
      </c>
      <c r="S28" s="1">
        <v>600</v>
      </c>
      <c r="T28" s="4">
        <f t="shared" si="1"/>
        <v>80</v>
      </c>
      <c r="U28" s="4">
        <f t="shared" si="8"/>
        <v>10</v>
      </c>
      <c r="V28" s="4">
        <f t="shared" si="9"/>
        <v>5</v>
      </c>
      <c r="W28" s="10">
        <f>Pipe_data!K19</f>
        <v>575.04</v>
      </c>
      <c r="X28" s="10">
        <f t="shared" si="2"/>
        <v>4674.7511522178247</v>
      </c>
      <c r="Y28" s="42">
        <f t="shared" si="3"/>
        <v>30513.036746034817</v>
      </c>
      <c r="Z28" s="16">
        <f>Y28*H2_data!$E$37/10^6</f>
        <v>4.3285793927924994</v>
      </c>
      <c r="AA28" s="16">
        <f t="shared" si="10"/>
        <v>1.2023831646645833</v>
      </c>
      <c r="AB28" s="17">
        <f t="shared" si="4"/>
        <v>37.918355480862296</v>
      </c>
      <c r="AC28" s="17">
        <f t="shared" si="11"/>
        <v>10.532876522461748</v>
      </c>
    </row>
    <row r="29" spans="1:29" x14ac:dyDescent="0.25">
      <c r="B29" s="23">
        <f t="shared" ref="B29:B34" si="14">B28+2</f>
        <v>26</v>
      </c>
      <c r="C29" s="23">
        <v>650</v>
      </c>
      <c r="D29" s="24">
        <f t="shared" si="5"/>
        <v>37161.176643494284</v>
      </c>
      <c r="E29" s="27">
        <f t="shared" si="6"/>
        <v>5.2716845186460999</v>
      </c>
      <c r="F29" s="27">
        <f t="shared" si="6"/>
        <v>1.4643568107350278</v>
      </c>
      <c r="G29" s="25">
        <f t="shared" si="0"/>
        <v>46.179956383339835</v>
      </c>
      <c r="H29" s="25">
        <f t="shared" si="7"/>
        <v>12.827765662038843</v>
      </c>
      <c r="R29" s="4">
        <f t="shared" si="13"/>
        <v>26</v>
      </c>
      <c r="S29" s="1">
        <v>650</v>
      </c>
      <c r="T29" s="4">
        <f t="shared" si="1"/>
        <v>80</v>
      </c>
      <c r="U29" s="4">
        <f t="shared" si="8"/>
        <v>10</v>
      </c>
      <c r="V29" s="4">
        <f t="shared" si="9"/>
        <v>5</v>
      </c>
      <c r="W29" s="10">
        <f>Pipe_data!K20</f>
        <v>634.6</v>
      </c>
      <c r="X29" s="10">
        <f t="shared" si="2"/>
        <v>5693.2797209874543</v>
      </c>
      <c r="Y29" s="42">
        <f t="shared" si="3"/>
        <v>37161.176643494284</v>
      </c>
      <c r="Z29" s="16">
        <f>Y29*H2_data!$E$37/10^6</f>
        <v>5.2716845186460999</v>
      </c>
      <c r="AA29" s="16">
        <f t="shared" si="10"/>
        <v>1.4643568107350278</v>
      </c>
      <c r="AB29" s="17">
        <f t="shared" si="4"/>
        <v>46.179956383339835</v>
      </c>
      <c r="AC29" s="17">
        <f t="shared" si="11"/>
        <v>12.827765662038843</v>
      </c>
    </row>
    <row r="30" spans="1:29" x14ac:dyDescent="0.25">
      <c r="B30" s="23">
        <f t="shared" si="14"/>
        <v>28</v>
      </c>
      <c r="C30" s="23">
        <v>700</v>
      </c>
      <c r="D30" s="24">
        <f t="shared" si="5"/>
        <v>43374.146201686926</v>
      </c>
      <c r="E30" s="27">
        <f t="shared" si="6"/>
        <v>6.1530563801713081</v>
      </c>
      <c r="F30" s="27">
        <f t="shared" si="6"/>
        <v>1.7091823278253633</v>
      </c>
      <c r="G30" s="25">
        <f t="shared" si="0"/>
        <v>53.900773890300663</v>
      </c>
      <c r="H30" s="25">
        <f t="shared" si="7"/>
        <v>14.972437191750183</v>
      </c>
      <c r="R30" s="4">
        <f t="shared" si="13"/>
        <v>28</v>
      </c>
      <c r="S30" s="1">
        <v>700</v>
      </c>
      <c r="T30" s="4">
        <f t="shared" si="1"/>
        <v>80</v>
      </c>
      <c r="U30" s="4">
        <f t="shared" si="8"/>
        <v>10</v>
      </c>
      <c r="V30" s="4">
        <f t="shared" si="9"/>
        <v>5</v>
      </c>
      <c r="W30" s="10">
        <f>Pipe_data!K21</f>
        <v>685.6</v>
      </c>
      <c r="X30" s="10">
        <f t="shared" si="2"/>
        <v>6645.1379985687445</v>
      </c>
      <c r="Y30" s="42">
        <f t="shared" si="3"/>
        <v>43374.146201686926</v>
      </c>
      <c r="Z30" s="16">
        <f>Y30*H2_data!$E$37/10^6</f>
        <v>6.1530563801713081</v>
      </c>
      <c r="AA30" s="16">
        <f t="shared" si="10"/>
        <v>1.7091823278253633</v>
      </c>
      <c r="AB30" s="17">
        <f t="shared" si="4"/>
        <v>53.900773890300663</v>
      </c>
      <c r="AC30" s="17">
        <f t="shared" si="11"/>
        <v>14.972437191750183</v>
      </c>
    </row>
    <row r="31" spans="1:29" x14ac:dyDescent="0.25">
      <c r="B31" s="23">
        <f t="shared" si="14"/>
        <v>30</v>
      </c>
      <c r="C31" s="23">
        <v>750</v>
      </c>
      <c r="D31" s="24">
        <f t="shared" si="5"/>
        <v>50067.136131744199</v>
      </c>
      <c r="E31" s="27">
        <f t="shared" si="6"/>
        <v>7.1025239316492321</v>
      </c>
      <c r="F31" s="27">
        <f t="shared" si="6"/>
        <v>1.9729233143470091</v>
      </c>
      <c r="G31" s="25">
        <f t="shared" si="0"/>
        <v>62.218109641247274</v>
      </c>
      <c r="H31" s="25">
        <f t="shared" si="7"/>
        <v>17.282808233679798</v>
      </c>
      <c r="R31" s="4">
        <f t="shared" si="13"/>
        <v>30</v>
      </c>
      <c r="S31" s="1">
        <v>750</v>
      </c>
      <c r="T31" s="4">
        <f t="shared" si="1"/>
        <v>80</v>
      </c>
      <c r="U31" s="4">
        <f t="shared" si="8"/>
        <v>10</v>
      </c>
      <c r="V31" s="4">
        <f t="shared" si="9"/>
        <v>5</v>
      </c>
      <c r="W31" s="10">
        <f>Pipe_data!K22</f>
        <v>736.6</v>
      </c>
      <c r="X31" s="10">
        <f t="shared" si="2"/>
        <v>7670.5378185779218</v>
      </c>
      <c r="Y31" s="42">
        <f t="shared" si="3"/>
        <v>50067.136131744199</v>
      </c>
      <c r="Z31" s="16">
        <f>Y31*H2_data!$E$37/10^6</f>
        <v>7.1025239316492321</v>
      </c>
      <c r="AA31" s="16">
        <f t="shared" si="10"/>
        <v>1.9729233143470091</v>
      </c>
      <c r="AB31" s="17">
        <f t="shared" si="4"/>
        <v>62.218109641247274</v>
      </c>
      <c r="AC31" s="17">
        <f t="shared" si="11"/>
        <v>17.282808233679798</v>
      </c>
    </row>
    <row r="32" spans="1:29" x14ac:dyDescent="0.25">
      <c r="B32" s="23">
        <f t="shared" si="14"/>
        <v>32</v>
      </c>
      <c r="C32" s="23">
        <v>800</v>
      </c>
      <c r="D32" s="24">
        <f t="shared" si="5"/>
        <v>55859.001922274598</v>
      </c>
      <c r="E32" s="27">
        <f t="shared" si="6"/>
        <v>7.9241580126938755</v>
      </c>
      <c r="F32" s="27">
        <f t="shared" si="6"/>
        <v>2.2011550035260763</v>
      </c>
      <c r="G32" s="25">
        <f t="shared" si="0"/>
        <v>69.415624191198347</v>
      </c>
      <c r="H32" s="25">
        <f t="shared" si="7"/>
        <v>19.282117830888428</v>
      </c>
      <c r="R32" s="4">
        <f t="shared" si="13"/>
        <v>32</v>
      </c>
      <c r="S32" s="1">
        <v>800</v>
      </c>
      <c r="T32" s="4">
        <f t="shared" si="1"/>
        <v>80</v>
      </c>
      <c r="U32" s="4">
        <f t="shared" si="8"/>
        <v>10</v>
      </c>
      <c r="V32" s="4">
        <f t="shared" si="9"/>
        <v>5</v>
      </c>
      <c r="W32" s="10">
        <f>Pipe_data!K23</f>
        <v>778.04</v>
      </c>
      <c r="X32" s="10">
        <f t="shared" si="2"/>
        <v>8557.8808746993836</v>
      </c>
      <c r="Y32" s="42">
        <f t="shared" si="3"/>
        <v>55859.001922274598</v>
      </c>
      <c r="Z32" s="16">
        <f>Y32*H2_data!$E$37/10^6</f>
        <v>7.9241580126938755</v>
      </c>
      <c r="AA32" s="16">
        <f t="shared" si="10"/>
        <v>2.2011550035260763</v>
      </c>
      <c r="AB32" s="17">
        <f t="shared" si="4"/>
        <v>69.415624191198347</v>
      </c>
      <c r="AC32" s="17">
        <f t="shared" si="11"/>
        <v>19.282117830888428</v>
      </c>
    </row>
    <row r="33" spans="2:29 16384:16384" x14ac:dyDescent="0.25">
      <c r="B33" s="23">
        <f t="shared" si="14"/>
        <v>34</v>
      </c>
      <c r="C33" s="23">
        <v>850</v>
      </c>
      <c r="D33" s="24">
        <f t="shared" si="5"/>
        <v>63422.052306746831</v>
      </c>
      <c r="E33" s="27">
        <f t="shared" si="6"/>
        <v>8.9970523402351059</v>
      </c>
      <c r="F33" s="27">
        <f t="shared" si="6"/>
        <v>2.4991812056208627</v>
      </c>
      <c r="G33" s="25">
        <f t="shared" si="0"/>
        <v>78.814178500459533</v>
      </c>
      <c r="H33" s="25">
        <f t="shared" si="7"/>
        <v>21.892827361238758</v>
      </c>
      <c r="R33" s="4">
        <f t="shared" si="13"/>
        <v>34</v>
      </c>
      <c r="S33" s="1">
        <v>850</v>
      </c>
      <c r="T33" s="4">
        <f t="shared" si="1"/>
        <v>80</v>
      </c>
      <c r="U33" s="4">
        <f t="shared" si="8"/>
        <v>10</v>
      </c>
      <c r="V33" s="4">
        <f t="shared" si="9"/>
        <v>5</v>
      </c>
      <c r="W33" s="10">
        <f>Pipe_data!K24</f>
        <v>829.04</v>
      </c>
      <c r="X33" s="10">
        <f t="shared" si="2"/>
        <v>9716.5783453366676</v>
      </c>
      <c r="Y33" s="42">
        <f t="shared" si="3"/>
        <v>63422.052306746831</v>
      </c>
      <c r="Z33" s="16">
        <f>Y33*H2_data!$E$37/10^6</f>
        <v>8.9970523402351059</v>
      </c>
      <c r="AA33" s="16">
        <f t="shared" si="10"/>
        <v>2.4991812056208627</v>
      </c>
      <c r="AB33" s="17">
        <f t="shared" si="4"/>
        <v>78.814178500459533</v>
      </c>
      <c r="AC33" s="17">
        <f t="shared" si="11"/>
        <v>21.892827361238758</v>
      </c>
    </row>
    <row r="34" spans="2:29 16384:16384" x14ac:dyDescent="0.25">
      <c r="B34" s="23">
        <f t="shared" si="14"/>
        <v>36</v>
      </c>
      <c r="C34" s="23">
        <v>900</v>
      </c>
      <c r="D34" s="24">
        <f t="shared" si="5"/>
        <v>70794.313362365545</v>
      </c>
      <c r="E34" s="27">
        <f t="shared" si="6"/>
        <v>10.042881293585177</v>
      </c>
      <c r="F34" s="27">
        <f t="shared" si="6"/>
        <v>2.7896892482181048</v>
      </c>
      <c r="G34" s="25">
        <f t="shared" si="0"/>
        <v>87.975640131806159</v>
      </c>
      <c r="H34" s="25">
        <f t="shared" si="7"/>
        <v>24.4376778143906</v>
      </c>
      <c r="R34" s="4">
        <f t="shared" si="13"/>
        <v>36</v>
      </c>
      <c r="S34" s="1">
        <v>900</v>
      </c>
      <c r="T34" s="4">
        <f t="shared" si="1"/>
        <v>80</v>
      </c>
      <c r="U34" s="4">
        <f t="shared" si="8"/>
        <v>10</v>
      </c>
      <c r="V34" s="4">
        <f t="shared" si="9"/>
        <v>5</v>
      </c>
      <c r="W34" s="10">
        <f>Pipe_data!K25</f>
        <v>875.9</v>
      </c>
      <c r="X34" s="10">
        <f t="shared" si="2"/>
        <v>10846.045928358626</v>
      </c>
      <c r="Y34" s="42">
        <f t="shared" si="3"/>
        <v>70794.313362365545</v>
      </c>
      <c r="Z34" s="16">
        <f>Y34*H2_data!$E$37/10^6</f>
        <v>10.042881293585177</v>
      </c>
      <c r="AA34" s="16">
        <f t="shared" si="10"/>
        <v>2.7896892482181048</v>
      </c>
      <c r="AB34" s="17">
        <f t="shared" si="4"/>
        <v>87.975640131806159</v>
      </c>
      <c r="AC34" s="17">
        <f t="shared" si="11"/>
        <v>24.4376778143906</v>
      </c>
    </row>
    <row r="35" spans="2:29 16384:16384" x14ac:dyDescent="0.25">
      <c r="B35" s="23">
        <v>40</v>
      </c>
      <c r="C35" s="23">
        <v>1000</v>
      </c>
      <c r="D35" s="24">
        <f t="shared" si="5"/>
        <v>90549.481636602766</v>
      </c>
      <c r="E35" s="27">
        <f t="shared" si="6"/>
        <v>12.84534946496847</v>
      </c>
      <c r="F35" s="27">
        <f t="shared" si="6"/>
        <v>3.5681526291579084</v>
      </c>
      <c r="G35" s="25">
        <f t="shared" si="0"/>
        <v>112.52526131312379</v>
      </c>
      <c r="H35" s="25">
        <f t="shared" si="7"/>
        <v>31.257017031423274</v>
      </c>
      <c r="R35" s="4">
        <v>40</v>
      </c>
      <c r="S35" s="1">
        <v>1000</v>
      </c>
      <c r="T35" s="4">
        <f t="shared" si="1"/>
        <v>80</v>
      </c>
      <c r="U35" s="4">
        <f t="shared" si="8"/>
        <v>10</v>
      </c>
      <c r="V35" s="4">
        <f t="shared" si="9"/>
        <v>5</v>
      </c>
      <c r="W35" s="10">
        <f>Pipe_data!K26</f>
        <v>990.6</v>
      </c>
      <c r="X35" s="10">
        <f t="shared" si="2"/>
        <v>13872.637362731295</v>
      </c>
      <c r="Y35" s="42">
        <f t="shared" si="3"/>
        <v>90549.481636602766</v>
      </c>
      <c r="Z35" s="16">
        <f>Y35*H2_data!$E$37/10^6</f>
        <v>12.84534946496847</v>
      </c>
      <c r="AA35" s="16">
        <f t="shared" si="10"/>
        <v>3.5681526291579084</v>
      </c>
      <c r="AB35" s="17">
        <f t="shared" si="4"/>
        <v>112.52526131312379</v>
      </c>
      <c r="AC35" s="17">
        <f t="shared" si="11"/>
        <v>31.257017031423274</v>
      </c>
    </row>
    <row r="36" spans="2:29 16384:16384" x14ac:dyDescent="0.25">
      <c r="B36" s="23">
        <f t="shared" ref="B36:B39" si="15">B35+2</f>
        <v>42</v>
      </c>
      <c r="C36" s="23">
        <v>1050</v>
      </c>
      <c r="D36" s="24">
        <f t="shared" si="5"/>
        <v>100113.18163369338</v>
      </c>
      <c r="E36" s="27">
        <f t="shared" si="6"/>
        <v>14.202055946555745</v>
      </c>
      <c r="F36" s="27">
        <f t="shared" si="6"/>
        <v>3.9450155407099294</v>
      </c>
      <c r="G36" s="25">
        <f t="shared" si="0"/>
        <v>124.41001009182833</v>
      </c>
      <c r="H36" s="25">
        <f t="shared" si="7"/>
        <v>34.558336136618976</v>
      </c>
      <c r="R36" s="4">
        <f t="shared" si="13"/>
        <v>42</v>
      </c>
      <c r="S36" s="1">
        <v>1050</v>
      </c>
      <c r="T36" s="4">
        <f t="shared" si="1"/>
        <v>80</v>
      </c>
      <c r="U36" s="4">
        <f t="shared" si="8"/>
        <v>10</v>
      </c>
      <c r="V36" s="4">
        <f t="shared" si="9"/>
        <v>5</v>
      </c>
      <c r="W36" s="10">
        <f>Pipe_data!K27</f>
        <v>1041.5999999999999</v>
      </c>
      <c r="X36" s="10">
        <f t="shared" si="2"/>
        <v>15337.844446279765</v>
      </c>
      <c r="Y36" s="42">
        <f t="shared" si="3"/>
        <v>100113.18163369338</v>
      </c>
      <c r="Z36" s="16">
        <f>Y36*H2_data!$E$37/10^6</f>
        <v>14.202055946555745</v>
      </c>
      <c r="AA36" s="16">
        <f t="shared" si="10"/>
        <v>3.9450155407099294</v>
      </c>
      <c r="AB36" s="17">
        <f t="shared" si="4"/>
        <v>124.41001009182833</v>
      </c>
      <c r="AC36" s="17">
        <f t="shared" si="11"/>
        <v>34.558336136618976</v>
      </c>
    </row>
    <row r="37" spans="2:29 16384:16384" x14ac:dyDescent="0.25">
      <c r="B37" s="23">
        <f t="shared" si="15"/>
        <v>44</v>
      </c>
      <c r="C37" s="23">
        <v>1100</v>
      </c>
      <c r="D37" s="24">
        <f t="shared" si="5"/>
        <v>110156.90200264868</v>
      </c>
      <c r="E37" s="27">
        <f t="shared" si="6"/>
        <v>15.626858118095745</v>
      </c>
      <c r="F37" s="27">
        <f t="shared" si="6"/>
        <v>4.3407939216932627</v>
      </c>
      <c r="G37" s="25">
        <f t="shared" si="0"/>
        <v>136.89127711451872</v>
      </c>
      <c r="H37" s="25">
        <f t="shared" si="7"/>
        <v>38.025354754032975</v>
      </c>
      <c r="R37" s="4">
        <f t="shared" si="13"/>
        <v>44</v>
      </c>
      <c r="S37" s="1">
        <v>1100</v>
      </c>
      <c r="T37" s="4">
        <f t="shared" si="1"/>
        <v>80</v>
      </c>
      <c r="U37" s="4">
        <f t="shared" si="8"/>
        <v>10</v>
      </c>
      <c r="V37" s="4">
        <f t="shared" si="9"/>
        <v>5</v>
      </c>
      <c r="W37" s="10">
        <f>Pipe_data!K28</f>
        <v>1092.5999999999999</v>
      </c>
      <c r="X37" s="10">
        <f t="shared" si="2"/>
        <v>16876.593072256132</v>
      </c>
      <c r="Y37" s="42">
        <f t="shared" si="3"/>
        <v>110156.90200264868</v>
      </c>
      <c r="Z37" s="16">
        <f>Y37*H2_data!$E$37/10^6</f>
        <v>15.626858118095745</v>
      </c>
      <c r="AA37" s="16">
        <f t="shared" si="10"/>
        <v>4.3407939216932627</v>
      </c>
      <c r="AB37" s="17">
        <f t="shared" si="4"/>
        <v>136.89127711451872</v>
      </c>
      <c r="AC37" s="17">
        <f t="shared" si="11"/>
        <v>38.025354754032975</v>
      </c>
    </row>
    <row r="38" spans="2:29 16384:16384" x14ac:dyDescent="0.25">
      <c r="B38" s="23">
        <f t="shared" si="15"/>
        <v>46</v>
      </c>
      <c r="C38" s="23">
        <v>1150</v>
      </c>
      <c r="D38" s="24">
        <f t="shared" si="5"/>
        <v>120469.68107984745</v>
      </c>
      <c r="E38" s="27">
        <f t="shared" si="6"/>
        <v>17.089828957987159</v>
      </c>
      <c r="F38" s="27">
        <f t="shared" si="6"/>
        <v>4.747174710551989</v>
      </c>
      <c r="G38" s="25">
        <f t="shared" si="0"/>
        <v>149.7069016719675</v>
      </c>
      <c r="H38" s="25">
        <f t="shared" si="7"/>
        <v>41.585250464435418</v>
      </c>
      <c r="R38" s="4">
        <f t="shared" si="13"/>
        <v>46</v>
      </c>
      <c r="S38" s="1">
        <v>1150</v>
      </c>
      <c r="T38" s="4">
        <f t="shared" si="1"/>
        <v>80</v>
      </c>
      <c r="U38" s="4">
        <f t="shared" si="8"/>
        <v>10</v>
      </c>
      <c r="V38" s="4">
        <f t="shared" si="9"/>
        <v>5</v>
      </c>
      <c r="W38" s="10">
        <f>Pipe_data!K29</f>
        <v>1142.5999999999999</v>
      </c>
      <c r="X38" s="10">
        <f t="shared" si="2"/>
        <v>18456.562849599504</v>
      </c>
      <c r="Y38" s="42">
        <f t="shared" si="3"/>
        <v>120469.68107984745</v>
      </c>
      <c r="Z38" s="16">
        <f>Y38*H2_data!$E$37/10^6</f>
        <v>17.089828957987159</v>
      </c>
      <c r="AA38" s="16">
        <f t="shared" si="10"/>
        <v>4.747174710551989</v>
      </c>
      <c r="AB38" s="17">
        <f t="shared" si="4"/>
        <v>149.7069016719675</v>
      </c>
      <c r="AC38" s="17">
        <f t="shared" si="11"/>
        <v>41.585250464435418</v>
      </c>
    </row>
    <row r="39" spans="2:29 16384:16384" x14ac:dyDescent="0.25">
      <c r="B39" s="23">
        <f t="shared" si="15"/>
        <v>48</v>
      </c>
      <c r="C39" s="23">
        <v>1200</v>
      </c>
      <c r="D39" s="24">
        <f t="shared" si="5"/>
        <v>131464.03002837778</v>
      </c>
      <c r="E39" s="27">
        <f t="shared" si="6"/>
        <v>18.649487299825672</v>
      </c>
      <c r="F39" s="27">
        <f t="shared" si="6"/>
        <v>5.1804131388404642</v>
      </c>
      <c r="G39" s="25">
        <f t="shared" si="0"/>
        <v>163.36950874647289</v>
      </c>
      <c r="H39" s="25">
        <f t="shared" si="7"/>
        <v>45.38041909624247</v>
      </c>
      <c r="R39" s="4">
        <f t="shared" si="13"/>
        <v>48</v>
      </c>
      <c r="S39" s="1">
        <v>1200</v>
      </c>
      <c r="T39" s="4">
        <f t="shared" si="1"/>
        <v>80</v>
      </c>
      <c r="U39" s="4">
        <f t="shared" si="8"/>
        <v>10</v>
      </c>
      <c r="V39" s="4">
        <f t="shared" si="9"/>
        <v>5</v>
      </c>
      <c r="W39" s="10">
        <f>Pipe_data!K30</f>
        <v>1193.5999999999999</v>
      </c>
      <c r="X39" s="10">
        <f t="shared" si="2"/>
        <v>20140.952569403642</v>
      </c>
      <c r="Y39" s="42">
        <f t="shared" si="3"/>
        <v>131464.03002837778</v>
      </c>
      <c r="Z39" s="16">
        <f>Y39*H2_data!$E$37/10^6</f>
        <v>18.649487299825672</v>
      </c>
      <c r="AA39" s="16">
        <f t="shared" si="10"/>
        <v>5.1804131388404642</v>
      </c>
      <c r="AB39" s="17">
        <f t="shared" si="4"/>
        <v>163.36950874647289</v>
      </c>
      <c r="AC39" s="17">
        <f t="shared" si="11"/>
        <v>45.38041909624247</v>
      </c>
    </row>
    <row r="41" spans="2:29 16384:16384" ht="15.75" x14ac:dyDescent="0.25">
      <c r="B41" s="34" t="s">
        <v>76</v>
      </c>
    </row>
    <row r="43" spans="2:29 16384:16384" x14ac:dyDescent="0.25">
      <c r="B43" s="23" t="s">
        <v>21</v>
      </c>
      <c r="C43" s="20" t="s">
        <v>60</v>
      </c>
      <c r="D43" s="21" t="s">
        <v>19</v>
      </c>
      <c r="E43" s="21" t="s">
        <v>47</v>
      </c>
      <c r="F43" s="21" t="s">
        <v>47</v>
      </c>
      <c r="G43" s="21" t="s">
        <v>56</v>
      </c>
      <c r="H43" s="21" t="s">
        <v>56</v>
      </c>
      <c r="R43" s="4" t="s">
        <v>21</v>
      </c>
      <c r="S43" s="4" t="s">
        <v>0</v>
      </c>
      <c r="T43" s="1" t="s">
        <v>15</v>
      </c>
      <c r="U43" s="1" t="s">
        <v>16</v>
      </c>
      <c r="V43" s="6" t="s">
        <v>17</v>
      </c>
      <c r="W43" s="6" t="s">
        <v>29</v>
      </c>
      <c r="X43" s="1" t="s">
        <v>19</v>
      </c>
      <c r="Y43" s="6" t="s">
        <v>19</v>
      </c>
      <c r="Z43" s="6" t="s">
        <v>47</v>
      </c>
      <c r="AA43" s="6" t="s">
        <v>47</v>
      </c>
      <c r="AB43" s="6" t="s">
        <v>56</v>
      </c>
      <c r="AC43" s="6" t="s">
        <v>56</v>
      </c>
      <c r="XFD43" s="20" t="s">
        <v>60</v>
      </c>
    </row>
    <row r="44" spans="2:29 16384:16384" x14ac:dyDescent="0.25">
      <c r="B44" s="23" t="s">
        <v>10</v>
      </c>
      <c r="C44" s="23" t="s">
        <v>9</v>
      </c>
      <c r="D44" s="22" t="s">
        <v>30</v>
      </c>
      <c r="E44" s="23" t="s">
        <v>58</v>
      </c>
      <c r="F44" s="23" t="s">
        <v>63</v>
      </c>
      <c r="G44" s="23" t="s">
        <v>57</v>
      </c>
      <c r="H44" s="23" t="s">
        <v>62</v>
      </c>
      <c r="R44" s="4" t="s">
        <v>10</v>
      </c>
      <c r="S44" s="4" t="s">
        <v>10</v>
      </c>
      <c r="T44" s="5" t="s">
        <v>9</v>
      </c>
      <c r="U44" s="5" t="s">
        <v>8</v>
      </c>
      <c r="V44" s="5" t="s">
        <v>18</v>
      </c>
      <c r="W44" s="28" t="s">
        <v>7</v>
      </c>
      <c r="X44" s="9" t="s">
        <v>20</v>
      </c>
      <c r="Y44" s="9" t="s">
        <v>30</v>
      </c>
      <c r="Z44" s="5" t="s">
        <v>58</v>
      </c>
      <c r="AA44" s="11" t="s">
        <v>63</v>
      </c>
      <c r="AB44" s="5" t="s">
        <v>57</v>
      </c>
      <c r="AC44" s="5" t="s">
        <v>57</v>
      </c>
      <c r="XFD44" s="20" t="s">
        <v>9</v>
      </c>
    </row>
    <row r="45" spans="2:29 16384:16384" x14ac:dyDescent="0.25">
      <c r="B45" s="23">
        <f t="shared" ref="B45:B51" si="16">$D$12</f>
        <v>36</v>
      </c>
      <c r="C45" s="45">
        <f>T45</f>
        <v>20</v>
      </c>
      <c r="D45" s="45">
        <f>Y45</f>
        <v>18351.545783331319</v>
      </c>
      <c r="E45" s="46">
        <f>Z45</f>
        <v>2.6033502848233812</v>
      </c>
      <c r="F45" s="46">
        <f>AA45</f>
        <v>0.72315285689538367</v>
      </c>
      <c r="G45" s="25">
        <f>AB45</f>
        <v>22.805348495052819</v>
      </c>
      <c r="H45" s="25">
        <f>AC45</f>
        <v>6.3348190264035615</v>
      </c>
      <c r="R45" s="1">
        <f t="shared" ref="R45:R51" si="17">$D$12</f>
        <v>36</v>
      </c>
      <c r="S45" s="1">
        <f t="shared" ref="S45:S51" si="18">VLOOKUP(R45,R19:AB39,2,FALSE)</f>
        <v>900</v>
      </c>
      <c r="T45" s="10">
        <v>20</v>
      </c>
      <c r="U45" s="4">
        <f>$D$13</f>
        <v>10</v>
      </c>
      <c r="V45" s="4">
        <f>$V$19</f>
        <v>5</v>
      </c>
      <c r="W45" s="1">
        <f t="shared" ref="W45:W51" si="19">VLOOKUP(R45,R19:AB39,6,FALSE)</f>
        <v>875.9</v>
      </c>
      <c r="X45" s="10">
        <f t="shared" ref="X45:X47" si="20">PI()/4*(W45/10^3)^2*V45*3600</f>
        <v>10846.045928358626</v>
      </c>
      <c r="Y45" s="42">
        <f t="shared" ref="Y45:Y51" si="21">X45*INTERPOLATE2D(T45/10,U45,HydroDensityTable)</f>
        <v>18351.545783331319</v>
      </c>
      <c r="Z45" s="16">
        <f>Y45*H2_data!$E$37/10^6</f>
        <v>2.6033502848233812</v>
      </c>
      <c r="AA45" s="16">
        <f>Z45/3600*10^3</f>
        <v>0.72315285689538367</v>
      </c>
      <c r="AB45" s="17">
        <f t="shared" ref="AB45:AB51" si="22">Z45*24*365/(10^3)</f>
        <v>22.805348495052819</v>
      </c>
      <c r="AC45" s="17">
        <f t="shared" ref="AC45:AC51" si="23">AB45*10^15/10^12*1/3600</f>
        <v>6.3348190264035615</v>
      </c>
      <c r="XFD45" s="26" t="str">
        <f t="shared" ref="XFD45:XFD51" si="24">_xlfn.CONCAT(ROUND(T45,1)," barg")</f>
        <v>20 barg</v>
      </c>
    </row>
    <row r="46" spans="2:29 16384:16384" x14ac:dyDescent="0.25">
      <c r="B46" s="23">
        <f t="shared" si="16"/>
        <v>36</v>
      </c>
      <c r="C46" s="45">
        <f t="shared" ref="C46:C51" si="25">T46</f>
        <v>40</v>
      </c>
      <c r="D46" s="45">
        <f t="shared" ref="D46:D51" si="26">Y46</f>
        <v>36262.867791574907</v>
      </c>
      <c r="E46" s="46">
        <f t="shared" ref="E46:E51" si="27">Z46</f>
        <v>5.1442504249128165</v>
      </c>
      <c r="F46" s="46">
        <f t="shared" ref="F46:F51" si="28">AA46</f>
        <v>1.4289584513646711</v>
      </c>
      <c r="G46" s="25">
        <f t="shared" ref="G46:H51" si="29">AB46</f>
        <v>45.063633722236276</v>
      </c>
      <c r="H46" s="25">
        <f t="shared" si="29"/>
        <v>12.517676033954519</v>
      </c>
      <c r="R46" s="1">
        <f t="shared" si="17"/>
        <v>36</v>
      </c>
      <c r="S46" s="1">
        <f t="shared" si="18"/>
        <v>900</v>
      </c>
      <c r="T46" s="10">
        <f>(T$48-T$45)/3+T$45</f>
        <v>40</v>
      </c>
      <c r="U46" s="4">
        <f t="shared" ref="U46:U51" si="30">$D$13</f>
        <v>10</v>
      </c>
      <c r="V46" s="4">
        <f t="shared" ref="V46:V51" si="31">$V$19</f>
        <v>5</v>
      </c>
      <c r="W46" s="1">
        <f t="shared" si="19"/>
        <v>875.9</v>
      </c>
      <c r="X46" s="10">
        <f t="shared" si="20"/>
        <v>10846.045928358626</v>
      </c>
      <c r="Y46" s="42">
        <f t="shared" si="21"/>
        <v>36262.867791574907</v>
      </c>
      <c r="Z46" s="16">
        <f>Y46*H2_data!$E$37/10^6</f>
        <v>5.1442504249128165</v>
      </c>
      <c r="AA46" s="16">
        <f t="shared" ref="AA46:AA51" si="32">Z46/3600*10^3</f>
        <v>1.4289584513646711</v>
      </c>
      <c r="AB46" s="17">
        <f t="shared" si="22"/>
        <v>45.063633722236276</v>
      </c>
      <c r="AC46" s="17">
        <f t="shared" si="23"/>
        <v>12.517676033954519</v>
      </c>
      <c r="XFD46" s="26" t="str">
        <f t="shared" si="24"/>
        <v>40 barg</v>
      </c>
    </row>
    <row r="47" spans="2:29 16384:16384" x14ac:dyDescent="0.25">
      <c r="B47" s="23">
        <f t="shared" si="16"/>
        <v>36</v>
      </c>
      <c r="C47" s="45">
        <f t="shared" si="25"/>
        <v>60</v>
      </c>
      <c r="D47" s="45">
        <f t="shared" si="26"/>
        <v>53741.389347041892</v>
      </c>
      <c r="E47" s="46">
        <f t="shared" si="27"/>
        <v>7.6237534927713639</v>
      </c>
      <c r="F47" s="46">
        <f t="shared" si="28"/>
        <v>2.1177093035476013</v>
      </c>
      <c r="G47" s="25">
        <f t="shared" si="29"/>
        <v>66.784080596677143</v>
      </c>
      <c r="H47" s="25">
        <f t="shared" si="29"/>
        <v>18.551133499076986</v>
      </c>
      <c r="R47" s="1">
        <f t="shared" si="17"/>
        <v>36</v>
      </c>
      <c r="S47" s="1">
        <f t="shared" si="18"/>
        <v>900</v>
      </c>
      <c r="T47" s="10">
        <f>(T$48-T$45)*2/3+T$45</f>
        <v>60</v>
      </c>
      <c r="U47" s="4">
        <f t="shared" si="30"/>
        <v>10</v>
      </c>
      <c r="V47" s="4">
        <f t="shared" si="31"/>
        <v>5</v>
      </c>
      <c r="W47" s="1">
        <f t="shared" si="19"/>
        <v>875.9</v>
      </c>
      <c r="X47" s="10">
        <f t="shared" si="20"/>
        <v>10846.045928358626</v>
      </c>
      <c r="Y47" s="42">
        <f t="shared" si="21"/>
        <v>53741.389347041892</v>
      </c>
      <c r="Z47" s="16">
        <f>Y47*H2_data!$E$37/10^6</f>
        <v>7.6237534927713639</v>
      </c>
      <c r="AA47" s="16">
        <f t="shared" si="32"/>
        <v>2.1177093035476013</v>
      </c>
      <c r="AB47" s="17">
        <f t="shared" si="22"/>
        <v>66.784080596677143</v>
      </c>
      <c r="AC47" s="17">
        <f t="shared" si="23"/>
        <v>18.551133499076986</v>
      </c>
      <c r="XFD47" s="26" t="str">
        <f t="shared" si="24"/>
        <v>60 barg</v>
      </c>
    </row>
    <row r="48" spans="2:29 16384:16384" x14ac:dyDescent="0.25">
      <c r="B48" s="23">
        <f t="shared" si="16"/>
        <v>36</v>
      </c>
      <c r="C48" s="45">
        <f t="shared" si="25"/>
        <v>80</v>
      </c>
      <c r="D48" s="45">
        <f t="shared" si="26"/>
        <v>70794.313362365545</v>
      </c>
      <c r="E48" s="46">
        <f t="shared" si="27"/>
        <v>10.042881293585177</v>
      </c>
      <c r="F48" s="46">
        <f t="shared" si="28"/>
        <v>2.7896892482181048</v>
      </c>
      <c r="G48" s="25">
        <f t="shared" si="29"/>
        <v>87.975640131806159</v>
      </c>
      <c r="H48" s="25">
        <f t="shared" si="29"/>
        <v>24.4376778143906</v>
      </c>
      <c r="R48" s="1">
        <f t="shared" si="17"/>
        <v>36</v>
      </c>
      <c r="S48" s="1">
        <f t="shared" si="18"/>
        <v>900</v>
      </c>
      <c r="T48" s="10">
        <f>$D$11</f>
        <v>80</v>
      </c>
      <c r="U48" s="4">
        <f t="shared" si="30"/>
        <v>10</v>
      </c>
      <c r="V48" s="4">
        <f t="shared" si="31"/>
        <v>5</v>
      </c>
      <c r="W48" s="1">
        <f t="shared" si="19"/>
        <v>875.9</v>
      </c>
      <c r="X48" s="10">
        <f>PI()/4*(W48/10^3)^2*V48*3600</f>
        <v>10846.045928358626</v>
      </c>
      <c r="Y48" s="42">
        <f t="shared" si="21"/>
        <v>70794.313362365545</v>
      </c>
      <c r="Z48" s="16">
        <f>Y48*H2_data!$E$37/10^6</f>
        <v>10.042881293585177</v>
      </c>
      <c r="AA48" s="16">
        <f t="shared" si="32"/>
        <v>2.7896892482181048</v>
      </c>
      <c r="AB48" s="17">
        <f t="shared" si="22"/>
        <v>87.975640131806159</v>
      </c>
      <c r="AC48" s="17">
        <f t="shared" si="23"/>
        <v>24.4376778143906</v>
      </c>
      <c r="XFD48" s="26" t="str">
        <f t="shared" si="24"/>
        <v>80 barg</v>
      </c>
    </row>
    <row r="49" spans="1:61 16384:16384" x14ac:dyDescent="0.25">
      <c r="B49" s="23">
        <f t="shared" si="16"/>
        <v>36</v>
      </c>
      <c r="C49" s="45">
        <f t="shared" si="25"/>
        <v>100</v>
      </c>
      <c r="D49" s="45">
        <f t="shared" si="26"/>
        <v>87429.26120985359</v>
      </c>
      <c r="E49" s="46">
        <f t="shared" si="27"/>
        <v>12.402714995229831</v>
      </c>
      <c r="F49" s="46">
        <f t="shared" si="28"/>
        <v>3.4451986097860643</v>
      </c>
      <c r="G49" s="25">
        <f t="shared" si="29"/>
        <v>108.64778335821332</v>
      </c>
      <c r="H49" s="25">
        <f t="shared" si="29"/>
        <v>30.17993982172592</v>
      </c>
      <c r="R49" s="1">
        <f t="shared" si="17"/>
        <v>36</v>
      </c>
      <c r="S49" s="1">
        <f t="shared" si="18"/>
        <v>900</v>
      </c>
      <c r="T49" s="10">
        <f>(T$51-T$48)/3+T$48</f>
        <v>100</v>
      </c>
      <c r="U49" s="4">
        <f t="shared" si="30"/>
        <v>10</v>
      </c>
      <c r="V49" s="4">
        <f t="shared" si="31"/>
        <v>5</v>
      </c>
      <c r="W49" s="1">
        <f t="shared" si="19"/>
        <v>875.9</v>
      </c>
      <c r="X49" s="10">
        <f t="shared" ref="X49:X51" si="33">PI()/4*(W49/10^3)^2*V49*3600</f>
        <v>10846.045928358626</v>
      </c>
      <c r="Y49" s="42">
        <f t="shared" si="21"/>
        <v>87429.26120985359</v>
      </c>
      <c r="Z49" s="16">
        <f>Y49*H2_data!$E$37/10^6</f>
        <v>12.402714995229831</v>
      </c>
      <c r="AA49" s="16">
        <f t="shared" si="32"/>
        <v>3.4451986097860643</v>
      </c>
      <c r="AB49" s="17">
        <f t="shared" si="22"/>
        <v>108.64778335821332</v>
      </c>
      <c r="AC49" s="17">
        <f t="shared" si="23"/>
        <v>30.17993982172592</v>
      </c>
      <c r="XFD49" s="26" t="str">
        <f t="shared" si="24"/>
        <v>100 barg</v>
      </c>
    </row>
    <row r="50" spans="1:61 16384:16384" x14ac:dyDescent="0.25">
      <c r="B50" s="23">
        <f t="shared" si="16"/>
        <v>36</v>
      </c>
      <c r="C50" s="45">
        <f t="shared" si="25"/>
        <v>120</v>
      </c>
      <c r="D50" s="45">
        <f t="shared" si="26"/>
        <v>103654.55052640122</v>
      </c>
      <c r="E50" s="46">
        <f t="shared" si="27"/>
        <v>14.704434537675278</v>
      </c>
      <c r="F50" s="46">
        <f t="shared" si="28"/>
        <v>4.0845651493542432</v>
      </c>
      <c r="G50" s="25">
        <f t="shared" si="29"/>
        <v>128.81084655003545</v>
      </c>
      <c r="H50" s="25">
        <f t="shared" si="29"/>
        <v>35.780790708343183</v>
      </c>
      <c r="R50" s="1">
        <f t="shared" si="17"/>
        <v>36</v>
      </c>
      <c r="S50" s="1">
        <f t="shared" si="18"/>
        <v>900</v>
      </c>
      <c r="T50" s="10">
        <f>(T$51-T$48)*2/3+T$48</f>
        <v>120</v>
      </c>
      <c r="U50" s="4">
        <f t="shared" si="30"/>
        <v>10</v>
      </c>
      <c r="V50" s="4">
        <f t="shared" si="31"/>
        <v>5</v>
      </c>
      <c r="W50" s="1">
        <f t="shared" si="19"/>
        <v>875.9</v>
      </c>
      <c r="X50" s="10">
        <f t="shared" si="33"/>
        <v>10846.045928358626</v>
      </c>
      <c r="Y50" s="42">
        <f t="shared" si="21"/>
        <v>103654.55052640122</v>
      </c>
      <c r="Z50" s="16">
        <f>Y50*H2_data!$E$37/10^6</f>
        <v>14.704434537675278</v>
      </c>
      <c r="AA50" s="16">
        <f>Z50/3600*10^3</f>
        <v>4.0845651493542432</v>
      </c>
      <c r="AB50" s="17">
        <f t="shared" si="22"/>
        <v>128.81084655003545</v>
      </c>
      <c r="AC50" s="17">
        <f t="shared" si="23"/>
        <v>35.780790708343183</v>
      </c>
      <c r="XFD50" s="26" t="str">
        <f t="shared" si="24"/>
        <v>120 barg</v>
      </c>
    </row>
    <row r="51" spans="1:61 16384:16384" x14ac:dyDescent="0.25">
      <c r="B51" s="23">
        <f t="shared" si="16"/>
        <v>36</v>
      </c>
      <c r="C51" s="45">
        <f t="shared" si="25"/>
        <v>140</v>
      </c>
      <c r="D51" s="45">
        <f t="shared" si="26"/>
        <v>119479.25355641363</v>
      </c>
      <c r="E51" s="46">
        <f t="shared" si="27"/>
        <v>16.949326909512841</v>
      </c>
      <c r="F51" s="46">
        <f t="shared" si="28"/>
        <v>4.708146363753567</v>
      </c>
      <c r="G51" s="25">
        <f t="shared" si="29"/>
        <v>148.47610372733249</v>
      </c>
      <c r="H51" s="25">
        <f t="shared" si="29"/>
        <v>41.243362146481246</v>
      </c>
      <c r="R51" s="1">
        <f t="shared" si="17"/>
        <v>36</v>
      </c>
      <c r="S51" s="1">
        <f t="shared" si="18"/>
        <v>900</v>
      </c>
      <c r="T51" s="10">
        <f>T48+(T48-T45)</f>
        <v>140</v>
      </c>
      <c r="U51" s="4">
        <f t="shared" si="30"/>
        <v>10</v>
      </c>
      <c r="V51" s="4">
        <f t="shared" si="31"/>
        <v>5</v>
      </c>
      <c r="W51" s="1">
        <f t="shared" si="19"/>
        <v>875.9</v>
      </c>
      <c r="X51" s="10">
        <f t="shared" si="33"/>
        <v>10846.045928358626</v>
      </c>
      <c r="Y51" s="42">
        <f t="shared" si="21"/>
        <v>119479.25355641363</v>
      </c>
      <c r="Z51" s="16">
        <f>Y51*H2_data!$E$37/10^6</f>
        <v>16.949326909512841</v>
      </c>
      <c r="AA51" s="16">
        <f t="shared" si="32"/>
        <v>4.708146363753567</v>
      </c>
      <c r="AB51" s="17">
        <f t="shared" si="22"/>
        <v>148.47610372733249</v>
      </c>
      <c r="AC51" s="17">
        <f t="shared" si="23"/>
        <v>41.243362146481246</v>
      </c>
      <c r="XFD51" s="26" t="str">
        <f t="shared" si="24"/>
        <v>140 barg</v>
      </c>
    </row>
    <row r="55" spans="1:61 16384:16384" x14ac:dyDescent="0.25">
      <c r="B55" t="s">
        <v>86</v>
      </c>
    </row>
    <row r="56" spans="1:61 16384:16384" x14ac:dyDescent="0.25">
      <c r="C56" t="s">
        <v>87</v>
      </c>
    </row>
    <row r="57" spans="1:61 16384:16384" x14ac:dyDescent="0.25">
      <c r="A57" t="s">
        <v>88</v>
      </c>
      <c r="B57" s="49">
        <f>F11</f>
        <v>2.7896892482181048</v>
      </c>
      <c r="C57" s="23">
        <v>2</v>
      </c>
      <c r="D57" s="23">
        <v>4</v>
      </c>
      <c r="E57" s="23">
        <v>6</v>
      </c>
      <c r="F57" s="23">
        <v>8</v>
      </c>
      <c r="G57" s="23">
        <v>10</v>
      </c>
      <c r="H57" s="23">
        <v>12</v>
      </c>
      <c r="I57" s="23">
        <v>14</v>
      </c>
      <c r="J57" s="23">
        <v>16</v>
      </c>
      <c r="K57" s="23">
        <v>18</v>
      </c>
      <c r="L57" s="23">
        <v>20</v>
      </c>
      <c r="M57" s="23">
        <v>22</v>
      </c>
      <c r="N57" s="23">
        <v>24</v>
      </c>
      <c r="O57" s="23">
        <v>26</v>
      </c>
      <c r="P57" s="23">
        <v>28</v>
      </c>
      <c r="Q57" s="23">
        <v>30</v>
      </c>
      <c r="R57" s="23">
        <v>32</v>
      </c>
      <c r="S57" s="23">
        <v>34</v>
      </c>
      <c r="T57" s="23">
        <v>36</v>
      </c>
      <c r="U57" s="23">
        <v>38</v>
      </c>
      <c r="V57" s="23">
        <v>40</v>
      </c>
      <c r="W57" s="23">
        <v>42</v>
      </c>
      <c r="X57" s="23">
        <v>44</v>
      </c>
      <c r="Y57" s="23">
        <v>46</v>
      </c>
      <c r="Z57" s="23">
        <v>48</v>
      </c>
      <c r="AA57" s="23">
        <v>50</v>
      </c>
      <c r="AB57" s="23">
        <v>52</v>
      </c>
      <c r="AC57" s="23">
        <v>54</v>
      </c>
      <c r="AD57" s="23">
        <v>56</v>
      </c>
      <c r="AE57" s="23">
        <v>58</v>
      </c>
      <c r="AF57" s="23">
        <v>60</v>
      </c>
      <c r="AG57" s="23">
        <v>62</v>
      </c>
      <c r="AH57" s="23">
        <v>64</v>
      </c>
      <c r="AI57" s="23">
        <v>66</v>
      </c>
      <c r="AJ57" s="23">
        <v>68</v>
      </c>
      <c r="AK57" s="23">
        <v>70</v>
      </c>
      <c r="AL57" s="23">
        <v>72</v>
      </c>
      <c r="AM57" s="23">
        <v>74</v>
      </c>
      <c r="AN57" s="23">
        <v>76</v>
      </c>
      <c r="AO57" s="23">
        <v>78</v>
      </c>
      <c r="AP57" s="23">
        <v>80</v>
      </c>
      <c r="AQ57" s="23">
        <v>82</v>
      </c>
      <c r="AR57" s="23">
        <v>84</v>
      </c>
      <c r="AS57" s="23">
        <v>86</v>
      </c>
      <c r="AT57" s="23">
        <v>88</v>
      </c>
      <c r="AU57" s="23">
        <v>90</v>
      </c>
      <c r="AV57" s="23">
        <v>92</v>
      </c>
      <c r="AW57" s="23">
        <v>94</v>
      </c>
      <c r="AX57" s="23">
        <v>96</v>
      </c>
      <c r="AY57" s="23">
        <v>98</v>
      </c>
      <c r="AZ57" s="23">
        <v>100</v>
      </c>
      <c r="BA57" s="23">
        <v>102</v>
      </c>
      <c r="BB57" s="23">
        <v>104</v>
      </c>
      <c r="BC57" s="23">
        <v>106</v>
      </c>
      <c r="BD57" s="23">
        <v>108</v>
      </c>
      <c r="BE57" s="23">
        <v>110</v>
      </c>
      <c r="BF57" s="23">
        <v>112</v>
      </c>
      <c r="BG57" s="23">
        <v>138</v>
      </c>
      <c r="BH57" s="23">
        <v>172</v>
      </c>
      <c r="BI57" s="23">
        <v>200</v>
      </c>
    </row>
    <row r="58" spans="1:61 16384:16384" x14ac:dyDescent="0.25">
      <c r="B58" s="23">
        <v>4</v>
      </c>
      <c r="C58" s="50">
        <f t="dataTable" ref="C58:BI78" dt2D="1" dtr="1" r1="D11" r2="D12"/>
        <v>9.9554852555546022E-4</v>
      </c>
      <c r="D58" s="50">
        <v>1.9895738395843492E-3</v>
      </c>
      <c r="E58" s="50">
        <v>2.9809066130202914E-3</v>
      </c>
      <c r="F58" s="50">
        <v>3.9695468458632865E-3</v>
      </c>
      <c r="G58" s="50">
        <v>4.958187078706283E-3</v>
      </c>
      <c r="H58" s="50">
        <v>5.9408628294953907E-3</v>
      </c>
      <c r="I58" s="50">
        <v>6.9235385802844948E-3</v>
      </c>
      <c r="J58" s="50">
        <v>7.9032461207099135E-3</v>
      </c>
      <c r="K58" s="50">
        <v>8.8799854507716353E-3</v>
      </c>
      <c r="L58" s="50">
        <v>9.8567247808333622E-3</v>
      </c>
      <c r="M58" s="50">
        <v>1.0827554321265755E-2</v>
      </c>
      <c r="N58" s="50">
        <v>1.1798383861698149E-2</v>
      </c>
      <c r="O58" s="50">
        <v>1.2766271279368364E-2</v>
      </c>
      <c r="P58" s="50">
        <v>1.3731216574276402E-2</v>
      </c>
      <c r="Q58" s="50">
        <v>1.4696161869184444E-2</v>
      </c>
      <c r="R58" s="50">
        <v>1.565524767484975E-2</v>
      </c>
      <c r="S58" s="50">
        <v>1.6614333480515057E-2</v>
      </c>
      <c r="T58" s="50">
        <v>1.7570501655551345E-2</v>
      </c>
      <c r="U58" s="50">
        <v>1.8523752199958617E-2</v>
      </c>
      <c r="V58" s="50">
        <v>1.9477002744365885E-2</v>
      </c>
      <c r="W58" s="50">
        <v>2.0424441951095856E-2</v>
      </c>
      <c r="X58" s="50">
        <v>2.1371881157825828E-2</v>
      </c>
      <c r="Y58" s="50">
        <v>2.2316426601256188E-2</v>
      </c>
      <c r="Z58" s="50">
        <v>2.325807828138695E-2</v>
      </c>
      <c r="AA58" s="50">
        <v>2.4199729961517705E-2</v>
      </c>
      <c r="AB58" s="50">
        <v>2.5135617976845624E-2</v>
      </c>
      <c r="AC58" s="50">
        <v>2.607150599217355E-2</v>
      </c>
      <c r="AD58" s="50">
        <v>2.7004524200134158E-2</v>
      </c>
      <c r="AE58" s="50">
        <v>2.7934672600727472E-2</v>
      </c>
      <c r="AF58" s="50">
        <v>2.8864821001320783E-2</v>
      </c>
      <c r="AG58" s="50">
        <v>2.9789254140148134E-2</v>
      </c>
      <c r="AH58" s="50">
        <v>3.0713687278975485E-2</v>
      </c>
      <c r="AI58" s="50">
        <v>3.1635275161954746E-2</v>
      </c>
      <c r="AJ58" s="50">
        <v>3.2554017789085912E-2</v>
      </c>
      <c r="AK58" s="50">
        <v>3.3472760416217093E-2</v>
      </c>
      <c r="AL58" s="50">
        <v>3.4385837754868052E-2</v>
      </c>
      <c r="AM58" s="50">
        <v>3.5298915093519019E-2</v>
      </c>
      <c r="AN58" s="50">
        <v>3.6209172666089126E-2</v>
      </c>
      <c r="AO58" s="50">
        <v>3.7116610472578394E-2</v>
      </c>
      <c r="AP58" s="50">
        <v>3.8024048279067663E-2</v>
      </c>
      <c r="AQ58" s="50">
        <v>3.8925872888562953E-2</v>
      </c>
      <c r="AR58" s="50">
        <v>3.9827697498058243E-2</v>
      </c>
      <c r="AS58" s="50">
        <v>4.0726728982686485E-2</v>
      </c>
      <c r="AT58" s="50">
        <v>4.1622967342447699E-2</v>
      </c>
      <c r="AU58" s="50">
        <v>4.25192057022089E-2</v>
      </c>
      <c r="AV58" s="50">
        <v>4.3409885393874262E-2</v>
      </c>
      <c r="AW58" s="50">
        <v>4.4300565085539638E-2</v>
      </c>
      <c r="AX58" s="50">
        <v>4.5188479557530865E-2</v>
      </c>
      <c r="AY58" s="50">
        <v>4.6073628809847972E-2</v>
      </c>
      <c r="AZ58" s="50">
        <v>4.6958778062165078E-2</v>
      </c>
      <c r="BA58" s="50">
        <v>4.7835689740480247E-2</v>
      </c>
      <c r="BB58" s="50">
        <v>4.8712601418795451E-2</v>
      </c>
      <c r="BC58" s="50">
        <v>4.9589513097110634E-2</v>
      </c>
      <c r="BD58" s="50">
        <v>5.0466424775425817E-2</v>
      </c>
      <c r="BE58" s="50">
        <v>5.1343336453740999E-2</v>
      </c>
      <c r="BF58" s="50">
        <v>5.2209364723600292E-2</v>
      </c>
      <c r="BG58" s="50">
        <v>6.3328381004506398E-2</v>
      </c>
      <c r="BH58" s="50">
        <v>7.7333954791742585E-2</v>
      </c>
      <c r="BI58" s="50">
        <v>8.8434557748397827E-2</v>
      </c>
    </row>
    <row r="59" spans="1:61 16384:16384" x14ac:dyDescent="0.25">
      <c r="B59" s="23">
        <f>B58+2</f>
        <v>6</v>
      </c>
      <c r="C59" s="50">
        <v>2.2600645691211777E-3</v>
      </c>
      <c r="D59" s="50">
        <v>4.5166711888665976E-3</v>
      </c>
      <c r="E59" s="50">
        <v>6.767165283266611E-3</v>
      </c>
      <c r="F59" s="50">
        <v>9.0115468523212193E-3</v>
      </c>
      <c r="G59" s="50">
        <v>1.125592842137583E-2</v>
      </c>
      <c r="H59" s="50">
        <v>1.3486769601170524E-2</v>
      </c>
      <c r="I59" s="50">
        <v>1.5717610780965216E-2</v>
      </c>
      <c r="J59" s="50">
        <v>1.7941713618123193E-2</v>
      </c>
      <c r="K59" s="50">
        <v>2.0159078112644443E-2</v>
      </c>
      <c r="L59" s="50">
        <v>2.2376442607165689E-2</v>
      </c>
      <c r="M59" s="50">
        <v>2.4580390873537982E-2</v>
      </c>
      <c r="N59" s="50">
        <v>2.6784339139910275E-2</v>
      </c>
      <c r="O59" s="50">
        <v>2.8981608286940699E-2</v>
      </c>
      <c r="P59" s="50">
        <v>3.1172198314629265E-2</v>
      </c>
      <c r="Q59" s="50">
        <v>3.3362788342317831E-2</v>
      </c>
      <c r="R59" s="50">
        <v>3.554007633229482E-2</v>
      </c>
      <c r="S59" s="50">
        <v>3.7717364322271796E-2</v>
      </c>
      <c r="T59" s="50">
        <v>3.9888028794217122E-2</v>
      </c>
      <c r="U59" s="50">
        <v>4.2052069748130742E-2</v>
      </c>
      <c r="V59" s="50">
        <v>4.4216110702044377E-2</v>
      </c>
      <c r="W59" s="50">
        <v>4.6366958930494077E-2</v>
      </c>
      <c r="X59" s="50">
        <v>4.8517807158943778E-2</v>
      </c>
      <c r="Y59" s="50">
        <v>5.0662086052261163E-2</v>
      </c>
      <c r="Z59" s="50">
        <v>5.2799795610446225E-2</v>
      </c>
      <c r="AA59" s="50">
        <v>5.4937505168631301E-2</v>
      </c>
      <c r="AB59" s="50">
        <v>5.7062130226890134E-2</v>
      </c>
      <c r="AC59" s="50">
        <v>5.9186755285148974E-2</v>
      </c>
      <c r="AD59" s="50">
        <v>6.1304865392318483E-2</v>
      </c>
      <c r="AE59" s="50">
        <v>6.3416460548398654E-2</v>
      </c>
      <c r="AF59" s="50">
        <v>6.5528055704478824E-2</v>
      </c>
      <c r="AG59" s="50">
        <v>6.7626676243763423E-2</v>
      </c>
      <c r="AH59" s="50">
        <v>6.9725296783048021E-2</v>
      </c>
      <c r="AI59" s="50">
        <v>7.1817458107369905E-2</v>
      </c>
      <c r="AJ59" s="50">
        <v>7.3903160216729116E-2</v>
      </c>
      <c r="AK59" s="50">
        <v>7.5988862326088327E-2</v>
      </c>
      <c r="AL59" s="50">
        <v>7.8061703266514737E-2</v>
      </c>
      <c r="AM59" s="50">
        <v>8.0134544206941119E-2</v>
      </c>
      <c r="AN59" s="50">
        <v>8.2200983798514135E-2</v>
      </c>
      <c r="AO59" s="50">
        <v>8.4261022041233813E-2</v>
      </c>
      <c r="AP59" s="50">
        <v>8.6321060283953518E-2</v>
      </c>
      <c r="AQ59" s="50">
        <v>8.8368355614278707E-2</v>
      </c>
      <c r="AR59" s="50">
        <v>9.0415650944603937E-2</v>
      </c>
      <c r="AS59" s="50">
        <v>9.2456605406164738E-2</v>
      </c>
      <c r="AT59" s="50">
        <v>9.4491218998961193E-2</v>
      </c>
      <c r="AU59" s="50">
        <v>9.6525832591757579E-2</v>
      </c>
      <c r="AV59" s="50">
        <v>9.8547827062037713E-2</v>
      </c>
      <c r="AW59" s="50">
        <v>0.10056982153231783</v>
      </c>
      <c r="AX59" s="50">
        <v>0.10258553848337019</v>
      </c>
      <c r="AY59" s="50">
        <v>0.10459497791519481</v>
      </c>
      <c r="AZ59" s="50">
        <v>0.10660441734701942</v>
      </c>
      <c r="BA59" s="50">
        <v>0.10859515608404174</v>
      </c>
      <c r="BB59" s="50">
        <v>0.11058589482106412</v>
      </c>
      <c r="BC59" s="50">
        <v>0.11257663355808648</v>
      </c>
      <c r="BD59" s="50">
        <v>0.11456737229510883</v>
      </c>
      <c r="BE59" s="50">
        <v>0.11655811103213116</v>
      </c>
      <c r="BF59" s="50">
        <v>0.11852414257988947</v>
      </c>
      <c r="BG59" s="50">
        <v>0.14376620170095183</v>
      </c>
      <c r="BH59" s="50">
        <v>0.17556123757736369</v>
      </c>
      <c r="BI59" s="50">
        <v>0.20076149531891441</v>
      </c>
    </row>
    <row r="60" spans="1:61 16384:16384" x14ac:dyDescent="0.25">
      <c r="B60" s="23">
        <f t="shared" ref="B60:B66" si="34">B59+2</f>
        <v>8</v>
      </c>
      <c r="C60" s="50">
        <v>3.9132564477343751E-3</v>
      </c>
      <c r="D60" s="50">
        <v>7.8205255255168003E-3</v>
      </c>
      <c r="E60" s="50">
        <v>1.1717210888326359E-2</v>
      </c>
      <c r="F60" s="50">
        <v>1.5603312536163056E-2</v>
      </c>
      <c r="G60" s="50">
        <v>1.9489414183999753E-2</v>
      </c>
      <c r="H60" s="50">
        <v>2.3352070919553797E-2</v>
      </c>
      <c r="I60" s="50">
        <v>2.7214727655107827E-2</v>
      </c>
      <c r="J60" s="50">
        <v>3.1065717085607646E-2</v>
      </c>
      <c r="K60" s="50">
        <v>3.4905039211053215E-2</v>
      </c>
      <c r="L60" s="50">
        <v>3.8744361336498785E-2</v>
      </c>
      <c r="M60" s="50">
        <v>4.2560453532133731E-2</v>
      </c>
      <c r="N60" s="50">
        <v>4.6376545727768663E-2</v>
      </c>
      <c r="O60" s="50">
        <v>5.0181073162295954E-2</v>
      </c>
      <c r="P60" s="50">
        <v>5.3974035835715611E-2</v>
      </c>
      <c r="Q60" s="50">
        <v>5.7766998509135276E-2</v>
      </c>
      <c r="R60" s="50">
        <v>6.1536928971195108E-2</v>
      </c>
      <c r="S60" s="50">
        <v>6.5306859433254941E-2</v>
      </c>
      <c r="T60" s="50">
        <v>6.9065321406759944E-2</v>
      </c>
      <c r="U60" s="50">
        <v>7.2812314891710098E-2</v>
      </c>
      <c r="V60" s="50">
        <v>7.6559308376660265E-2</v>
      </c>
      <c r="W60" s="50">
        <v>8.0283458922213807E-2</v>
      </c>
      <c r="X60" s="50">
        <v>8.400760946776735E-2</v>
      </c>
      <c r="Y60" s="50">
        <v>8.7720385341368987E-2</v>
      </c>
      <c r="Z60" s="50">
        <v>9.1421786543018718E-2</v>
      </c>
      <c r="AA60" s="50">
        <v>9.512318774466845E-2</v>
      </c>
      <c r="AB60" s="50">
        <v>9.8801933397268282E-2</v>
      </c>
      <c r="AC60" s="50">
        <v>0.10248067904986811</v>
      </c>
      <c r="AD60" s="50">
        <v>0.10614814419539512</v>
      </c>
      <c r="AE60" s="50">
        <v>0.10980432883384927</v>
      </c>
      <c r="AF60" s="50">
        <v>0.11346051347230349</v>
      </c>
      <c r="AG60" s="50">
        <v>0.11709423282214337</v>
      </c>
      <c r="AH60" s="50">
        <v>0.12072795217198327</v>
      </c>
      <c r="AI60" s="50">
        <v>0.12435048752073517</v>
      </c>
      <c r="AJ60" s="50">
        <v>0.12796183886839901</v>
      </c>
      <c r="AK60" s="50">
        <v>0.13157319021606287</v>
      </c>
      <c r="AL60" s="50">
        <v>0.13516227270781025</v>
      </c>
      <c r="AM60" s="50">
        <v>0.13875135519955764</v>
      </c>
      <c r="AN60" s="50">
        <v>0.14232935388422407</v>
      </c>
      <c r="AO60" s="50">
        <v>0.14589626876180956</v>
      </c>
      <c r="AP60" s="50">
        <v>0.14946318363939504</v>
      </c>
      <c r="AQ60" s="50">
        <v>0.15300803441988708</v>
      </c>
      <c r="AR60" s="50">
        <v>0.15655288520037916</v>
      </c>
      <c r="AS60" s="50">
        <v>0.16008675689385057</v>
      </c>
      <c r="AT60" s="50">
        <v>0.16360964950030149</v>
      </c>
      <c r="AU60" s="50">
        <v>0.16713254210675235</v>
      </c>
      <c r="AV60" s="50">
        <v>0.17063358495579967</v>
      </c>
      <c r="AW60" s="50">
        <v>0.17413462780484704</v>
      </c>
      <c r="AX60" s="50">
        <v>0.1776248012553252</v>
      </c>
      <c r="AY60" s="50">
        <v>0.18110410530723425</v>
      </c>
      <c r="AZ60" s="50">
        <v>0.18458340935914322</v>
      </c>
      <c r="BA60" s="50">
        <v>0.18803033353327711</v>
      </c>
      <c r="BB60" s="50">
        <v>0.19147725770741106</v>
      </c>
      <c r="BC60" s="50">
        <v>0.19492418188154495</v>
      </c>
      <c r="BD60" s="50">
        <v>0.19837110605567887</v>
      </c>
      <c r="BE60" s="50">
        <v>0.20181803022981276</v>
      </c>
      <c r="BF60" s="50">
        <v>0.20522217440154586</v>
      </c>
      <c r="BG60" s="50">
        <v>0.24892829322628351</v>
      </c>
      <c r="BH60" s="50">
        <v>0.30398075980147338</v>
      </c>
      <c r="BI60" s="50">
        <v>0.34761450037643288</v>
      </c>
    </row>
    <row r="61" spans="1:61 16384:16384" x14ac:dyDescent="0.25">
      <c r="B61" s="23">
        <f t="shared" si="34"/>
        <v>10</v>
      </c>
      <c r="C61" s="50">
        <v>6.1642901912118469E-3</v>
      </c>
      <c r="D61" s="50">
        <v>1.2319148880461348E-2</v>
      </c>
      <c r="E61" s="50">
        <v>1.8457335753982649E-2</v>
      </c>
      <c r="F61" s="50">
        <v>2.4578850811775764E-2</v>
      </c>
      <c r="G61" s="50">
        <v>3.0700365869568869E-2</v>
      </c>
      <c r="H61" s="50">
        <v>3.678494973086411E-2</v>
      </c>
      <c r="I61" s="50">
        <v>4.2869533592159344E-2</v>
      </c>
      <c r="J61" s="50">
        <v>4.893573873101096E-2</v>
      </c>
      <c r="K61" s="50">
        <v>5.4983565147418936E-2</v>
      </c>
      <c r="L61" s="50">
        <v>6.1031391563826892E-2</v>
      </c>
      <c r="M61" s="50">
        <v>6.7042625431193742E-2</v>
      </c>
      <c r="N61" s="50">
        <v>7.3053859298560592E-2</v>
      </c>
      <c r="O61" s="50">
        <v>7.9046875974079236E-2</v>
      </c>
      <c r="P61" s="50">
        <v>8.5021675457749663E-2</v>
      </c>
      <c r="Q61" s="50">
        <v>9.0996474941420158E-2</v>
      </c>
      <c r="R61" s="50">
        <v>9.6934993328652533E-2</v>
      </c>
      <c r="S61" s="50">
        <v>0.10287351171588484</v>
      </c>
      <c r="T61" s="50">
        <v>0.10879396456295884</v>
      </c>
      <c r="U61" s="50">
        <v>0.11469635186987444</v>
      </c>
      <c r="V61" s="50">
        <v>0.12059873917679002</v>
      </c>
      <c r="W61" s="50">
        <v>0.12646514353468563</v>
      </c>
      <c r="X61" s="50">
        <v>0.13233154789258122</v>
      </c>
      <c r="Y61" s="50">
        <v>0.13818003449331526</v>
      </c>
      <c r="Z61" s="50">
        <v>0.14401060333688775</v>
      </c>
      <c r="AA61" s="50">
        <v>0.14984117218046025</v>
      </c>
      <c r="AB61" s="50">
        <v>0.15563605325844665</v>
      </c>
      <c r="AC61" s="50">
        <v>0.1614309343364331</v>
      </c>
      <c r="AD61" s="50">
        <v>0.16720804598887082</v>
      </c>
      <c r="AE61" s="50">
        <v>0.17296738821575991</v>
      </c>
      <c r="AF61" s="50">
        <v>0.178726730442649</v>
      </c>
      <c r="AG61" s="50">
        <v>0.18445068460844435</v>
      </c>
      <c r="AH61" s="50">
        <v>0.19017463877423973</v>
      </c>
      <c r="AI61" s="50">
        <v>0.19588097553388598</v>
      </c>
      <c r="AJ61" s="50">
        <v>0.20156969488738311</v>
      </c>
      <c r="AK61" s="50">
        <v>0.20725841424088023</v>
      </c>
      <c r="AL61" s="50">
        <v>0.21291205496052637</v>
      </c>
      <c r="AM61" s="50">
        <v>0.21856569568017242</v>
      </c>
      <c r="AN61" s="50">
        <v>0.22420187682256282</v>
      </c>
      <c r="AO61" s="50">
        <v>0.22982059838769758</v>
      </c>
      <c r="AP61" s="50">
        <v>0.23543931995283235</v>
      </c>
      <c r="AQ61" s="50">
        <v>0.24102328542694482</v>
      </c>
      <c r="AR61" s="50">
        <v>0.24660725090105728</v>
      </c>
      <c r="AS61" s="50">
        <v>0.25217392175639552</v>
      </c>
      <c r="AT61" s="50">
        <v>0.25772329799295951</v>
      </c>
      <c r="AU61" s="50">
        <v>0.26327267422952344</v>
      </c>
      <c r="AV61" s="50">
        <v>0.26878763200999034</v>
      </c>
      <c r="AW61" s="50">
        <v>0.27430258979045724</v>
      </c>
      <c r="AX61" s="50">
        <v>0.27980042573700414</v>
      </c>
      <c r="AY61" s="50">
        <v>0.28528113984963122</v>
      </c>
      <c r="AZ61" s="50">
        <v>0.29076185396225818</v>
      </c>
      <c r="BA61" s="50">
        <v>0.29619156222703752</v>
      </c>
      <c r="BB61" s="50">
        <v>0.30162127049181708</v>
      </c>
      <c r="BC61" s="50">
        <v>0.30705097875659632</v>
      </c>
      <c r="BD61" s="50">
        <v>0.31248068702137582</v>
      </c>
      <c r="BE61" s="50">
        <v>0.31791039528615511</v>
      </c>
      <c r="BF61" s="50">
        <v>0.32327271508490862</v>
      </c>
      <c r="BG61" s="50">
        <v>0.39212003014478714</v>
      </c>
      <c r="BH61" s="50">
        <v>0.47884048515302891</v>
      </c>
      <c r="BI61" s="50">
        <v>0.5475737876146729</v>
      </c>
    </row>
    <row r="62" spans="1:61 16384:16384" x14ac:dyDescent="0.25">
      <c r="B62" s="23">
        <f t="shared" si="34"/>
        <v>12</v>
      </c>
      <c r="C62" s="50">
        <v>8.7564272441660648E-3</v>
      </c>
      <c r="D62" s="50">
        <v>1.7499456958661279E-2</v>
      </c>
      <c r="E62" s="50">
        <v>2.6218804215497344E-2</v>
      </c>
      <c r="F62" s="50">
        <v>3.4914469014674251E-2</v>
      </c>
      <c r="G62" s="50">
        <v>4.3610133813851155E-2</v>
      </c>
      <c r="H62" s="50">
        <v>5.2253337530706774E-2</v>
      </c>
      <c r="I62" s="50">
        <v>6.0896541247562372E-2</v>
      </c>
      <c r="J62" s="50">
        <v>6.9513637831086106E-2</v>
      </c>
      <c r="K62" s="50">
        <v>7.8104627281277941E-2</v>
      </c>
      <c r="L62" s="50">
        <v>8.6695616731469763E-2</v>
      </c>
      <c r="M62" s="50">
        <v>9.5234626150965784E-2</v>
      </c>
      <c r="N62" s="50">
        <v>0.10377363557046176</v>
      </c>
      <c r="O62" s="50">
        <v>0.11228676731222628</v>
      </c>
      <c r="P62" s="50">
        <v>0.12077402137625923</v>
      </c>
      <c r="Q62" s="50">
        <v>0.1292612754402922</v>
      </c>
      <c r="R62" s="50">
        <v>0.1376969918947312</v>
      </c>
      <c r="S62" s="50">
        <v>0.14613270834917014</v>
      </c>
      <c r="T62" s="50">
        <v>0.15454276254840754</v>
      </c>
      <c r="U62" s="50">
        <v>0.16292715449244338</v>
      </c>
      <c r="V62" s="50">
        <v>0.17131154643647922</v>
      </c>
      <c r="W62" s="50">
        <v>0.17964482429189324</v>
      </c>
      <c r="X62" s="50">
        <v>0.1879781021473072</v>
      </c>
      <c r="Y62" s="50">
        <v>0.19628592767453792</v>
      </c>
      <c r="Z62" s="50">
        <v>0.20456830087358538</v>
      </c>
      <c r="AA62" s="50">
        <v>0.21285067407263283</v>
      </c>
      <c r="AB62" s="50">
        <v>0.22108235249366562</v>
      </c>
      <c r="AC62" s="50">
        <v>0.22931403091469846</v>
      </c>
      <c r="AD62" s="50">
        <v>0.23752046771388002</v>
      </c>
      <c r="AE62" s="50">
        <v>0.24570166289121048</v>
      </c>
      <c r="AF62" s="50">
        <v>0.25388285806854088</v>
      </c>
      <c r="AG62" s="50">
        <v>0.26201378420066623</v>
      </c>
      <c r="AH62" s="50">
        <v>0.27014471033279164</v>
      </c>
      <c r="AI62" s="50">
        <v>0.27825061078793056</v>
      </c>
      <c r="AJ62" s="50">
        <v>0.28633148556608318</v>
      </c>
      <c r="AK62" s="50">
        <v>0.29441236034423568</v>
      </c>
      <c r="AL62" s="50">
        <v>0.30244340562124322</v>
      </c>
      <c r="AM62" s="50">
        <v>0.31047445089825071</v>
      </c>
      <c r="AN62" s="50">
        <v>0.31848069469557261</v>
      </c>
      <c r="AO62" s="50">
        <v>0.32646213701320909</v>
      </c>
      <c r="AP62" s="50">
        <v>0.33444357933084551</v>
      </c>
      <c r="AQ62" s="50">
        <v>0.34237565032219974</v>
      </c>
      <c r="AR62" s="50">
        <v>0.35030772131355403</v>
      </c>
      <c r="AS62" s="50">
        <v>0.35821522515016457</v>
      </c>
      <c r="AT62" s="50">
        <v>0.3660981618320317</v>
      </c>
      <c r="AU62" s="50">
        <v>0.3739810985138986</v>
      </c>
      <c r="AV62" s="50">
        <v>0.3818151434827991</v>
      </c>
      <c r="AW62" s="50">
        <v>0.38964918845169955</v>
      </c>
      <c r="AX62" s="50">
        <v>0.39745891170822828</v>
      </c>
      <c r="AY62" s="50">
        <v>0.40524431325238536</v>
      </c>
      <c r="AZ62" s="50">
        <v>0.41302971479654227</v>
      </c>
      <c r="BA62" s="50">
        <v>0.42074266209506012</v>
      </c>
      <c r="BB62" s="50">
        <v>0.42845560939357819</v>
      </c>
      <c r="BC62" s="50">
        <v>0.43616855669209603</v>
      </c>
      <c r="BD62" s="50">
        <v>0.44388150399061405</v>
      </c>
      <c r="BE62" s="50">
        <v>0.45159445128913184</v>
      </c>
      <c r="BF62" s="50">
        <v>0.45921167269195889</v>
      </c>
      <c r="BG62" s="50">
        <v>0.55700987598509244</v>
      </c>
      <c r="BH62" s="50">
        <v>0.68019702832636819</v>
      </c>
      <c r="BI62" s="50">
        <v>0.77783327574293015</v>
      </c>
    </row>
    <row r="63" spans="1:61 16384:16384" x14ac:dyDescent="0.25">
      <c r="B63" s="23">
        <f t="shared" si="34"/>
        <v>14</v>
      </c>
      <c r="C63" s="50">
        <v>1.058234820738495E-2</v>
      </c>
      <c r="D63" s="50">
        <v>2.1148505185157367E-2</v>
      </c>
      <c r="E63" s="50">
        <v>3.1686041356022182E-2</v>
      </c>
      <c r="F63" s="50">
        <v>4.2194956719979394E-2</v>
      </c>
      <c r="G63" s="50">
        <v>5.2703872083936593E-2</v>
      </c>
      <c r="H63" s="50">
        <v>6.3149386996433396E-2</v>
      </c>
      <c r="I63" s="50">
        <v>7.3594901908930185E-2</v>
      </c>
      <c r="J63" s="50">
        <v>8.4008865736959454E-2</v>
      </c>
      <c r="K63" s="50">
        <v>9.4391278480521146E-2</v>
      </c>
      <c r="L63" s="50">
        <v>0.10477369122408282</v>
      </c>
      <c r="M63" s="50">
        <v>0.11509328487838409</v>
      </c>
      <c r="N63" s="50">
        <v>0.12541287853268535</v>
      </c>
      <c r="O63" s="50">
        <v>0.13570119840500708</v>
      </c>
      <c r="P63" s="50">
        <v>0.14595824449534933</v>
      </c>
      <c r="Q63" s="50">
        <v>0.15621529058569159</v>
      </c>
      <c r="R63" s="50">
        <v>0.16641005226307731</v>
      </c>
      <c r="S63" s="50">
        <v>0.17660481394046293</v>
      </c>
      <c r="T63" s="50">
        <v>0.1867685621790616</v>
      </c>
      <c r="U63" s="50">
        <v>0.19690129697887321</v>
      </c>
      <c r="V63" s="50">
        <v>0.20703403177868493</v>
      </c>
      <c r="W63" s="50">
        <v>0.2171049940005928</v>
      </c>
      <c r="X63" s="50">
        <v>0.22717595622250064</v>
      </c>
      <c r="Y63" s="50">
        <v>0.23721615870735888</v>
      </c>
      <c r="Z63" s="50">
        <v>0.24722560145516764</v>
      </c>
      <c r="AA63" s="50">
        <v>0.25723504420297638</v>
      </c>
      <c r="AB63" s="50">
        <v>0.26718322111960902</v>
      </c>
      <c r="AC63" s="50">
        <v>0.27713139803624159</v>
      </c>
      <c r="AD63" s="50">
        <v>0.28704906985938117</v>
      </c>
      <c r="AE63" s="50">
        <v>0.29693623658902768</v>
      </c>
      <c r="AF63" s="50">
        <v>0.30682340331867419</v>
      </c>
      <c r="AG63" s="50">
        <v>0.31664981872525499</v>
      </c>
      <c r="AH63" s="50">
        <v>0.32647623413183557</v>
      </c>
      <c r="AI63" s="50">
        <v>0.33627240541936965</v>
      </c>
      <c r="AJ63" s="50">
        <v>0.34603833258785704</v>
      </c>
      <c r="AK63" s="50">
        <v>0.35580425975634455</v>
      </c>
      <c r="AL63" s="50">
        <v>0.36550996680109732</v>
      </c>
      <c r="AM63" s="50">
        <v>0.37521567384585014</v>
      </c>
      <c r="AN63" s="50">
        <v>0.38489140771926561</v>
      </c>
      <c r="AO63" s="50">
        <v>0.39453716842134418</v>
      </c>
      <c r="AP63" s="50">
        <v>0.40418292912342257</v>
      </c>
      <c r="AQ63" s="50">
        <v>0.41376902341686095</v>
      </c>
      <c r="AR63" s="50">
        <v>0.42335511771029921</v>
      </c>
      <c r="AS63" s="50">
        <v>0.43291152201960215</v>
      </c>
      <c r="AT63" s="50">
        <v>0.4424382363447697</v>
      </c>
      <c r="AU63" s="50">
        <v>0.45196495066993714</v>
      </c>
      <c r="AV63" s="50">
        <v>0.46143257821043326</v>
      </c>
      <c r="AW63" s="50">
        <v>0.4709002057509295</v>
      </c>
      <c r="AX63" s="50">
        <v>0.48033843993016745</v>
      </c>
      <c r="AY63" s="50">
        <v>0.4897472807481475</v>
      </c>
      <c r="AZ63" s="50">
        <v>0.49915612156612743</v>
      </c>
      <c r="BA63" s="50">
        <v>0.5084773997246943</v>
      </c>
      <c r="BB63" s="50">
        <v>0.51779867788326128</v>
      </c>
      <c r="BC63" s="50">
        <v>0.52711995604182826</v>
      </c>
      <c r="BD63" s="50">
        <v>0.53644123420039536</v>
      </c>
      <c r="BE63" s="50">
        <v>0.54576251235896223</v>
      </c>
      <c r="BF63" s="50">
        <v>0.55496810352186088</v>
      </c>
      <c r="BG63" s="50">
        <v>0.67315953165187603</v>
      </c>
      <c r="BH63" s="50">
        <v>0.82203410165644974</v>
      </c>
      <c r="BI63" s="50">
        <v>0.94002980230169031</v>
      </c>
    </row>
    <row r="64" spans="1:61 16384:16384" x14ac:dyDescent="0.25">
      <c r="B64" s="23">
        <f t="shared" si="34"/>
        <v>16</v>
      </c>
      <c r="C64" s="50">
        <v>1.3819769772490069E-2</v>
      </c>
      <c r="D64" s="50">
        <v>2.7618394987912694E-2</v>
      </c>
      <c r="E64" s="50">
        <v>4.1379643530935699E-2</v>
      </c>
      <c r="F64" s="50">
        <v>5.5103515401559118E-2</v>
      </c>
      <c r="G64" s="50">
        <v>6.8827387272182503E-2</v>
      </c>
      <c r="H64" s="50">
        <v>8.2468462808241591E-2</v>
      </c>
      <c r="I64" s="50">
        <v>9.6109538344300652E-2</v>
      </c>
      <c r="J64" s="50">
        <v>0.10970941048061626</v>
      </c>
      <c r="K64" s="50">
        <v>0.12326807921718828</v>
      </c>
      <c r="L64" s="50">
        <v>0.13682674795376035</v>
      </c>
      <c r="M64" s="50">
        <v>0.15030337957211598</v>
      </c>
      <c r="N64" s="50">
        <v>0.16378001119047153</v>
      </c>
      <c r="O64" s="50">
        <v>0.17721580154577271</v>
      </c>
      <c r="P64" s="50">
        <v>0.19061075063801938</v>
      </c>
      <c r="Q64" s="50">
        <v>0.20400569973026605</v>
      </c>
      <c r="R64" s="50">
        <v>0.21731930995229171</v>
      </c>
      <c r="S64" s="50">
        <v>0.23063292017431727</v>
      </c>
      <c r="T64" s="50">
        <v>0.24390602912238268</v>
      </c>
      <c r="U64" s="50">
        <v>0.25713863679648791</v>
      </c>
      <c r="V64" s="50">
        <v>0.27037124447059308</v>
      </c>
      <c r="W64" s="50">
        <v>0.28352318169347573</v>
      </c>
      <c r="X64" s="50">
        <v>0.29667511891635834</v>
      </c>
      <c r="Y64" s="50">
        <v>0.30978688618112232</v>
      </c>
      <c r="Z64" s="50">
        <v>0.3228584834877678</v>
      </c>
      <c r="AA64" s="50">
        <v>0.33593008079441322</v>
      </c>
      <c r="AB64" s="50">
        <v>0.34892166942385566</v>
      </c>
      <c r="AC64" s="50">
        <v>0.36191325805329821</v>
      </c>
      <c r="AD64" s="50">
        <v>0.37486500927041005</v>
      </c>
      <c r="AE64" s="50">
        <v>0.38777692307519157</v>
      </c>
      <c r="AF64" s="50">
        <v>0.40068883687997303</v>
      </c>
      <c r="AG64" s="50">
        <v>0.41352141391736691</v>
      </c>
      <c r="AH64" s="50">
        <v>0.4263539909547609</v>
      </c>
      <c r="AI64" s="50">
        <v>0.43914707139328979</v>
      </c>
      <c r="AJ64" s="50">
        <v>0.45190065523295381</v>
      </c>
      <c r="AK64" s="50">
        <v>0.46465423907261799</v>
      </c>
      <c r="AL64" s="50">
        <v>0.47732917985221862</v>
      </c>
      <c r="AM64" s="50">
        <v>0.49000412063181936</v>
      </c>
      <c r="AN64" s="50">
        <v>0.50263991865036994</v>
      </c>
      <c r="AO64" s="50">
        <v>0.51523657390787037</v>
      </c>
      <c r="AP64" s="50">
        <v>0.5278332291653709</v>
      </c>
      <c r="AQ64" s="50">
        <v>0.54035196447406619</v>
      </c>
      <c r="AR64" s="50">
        <v>0.55287069978276149</v>
      </c>
      <c r="AS64" s="50">
        <v>0.56535066215209973</v>
      </c>
      <c r="AT64" s="50">
        <v>0.57779185158208102</v>
      </c>
      <c r="AU64" s="50">
        <v>0.59023304101206198</v>
      </c>
      <c r="AV64" s="50">
        <v>0.60259706743958363</v>
      </c>
      <c r="AW64" s="50">
        <v>0.61496109386710518</v>
      </c>
      <c r="AX64" s="50">
        <v>0.6272867347229687</v>
      </c>
      <c r="AY64" s="50">
        <v>0.63957399000717396</v>
      </c>
      <c r="AZ64" s="50">
        <v>0.65186124529137923</v>
      </c>
      <c r="BA64" s="50">
        <v>0.66403415017149237</v>
      </c>
      <c r="BB64" s="50">
        <v>0.67620705505160605</v>
      </c>
      <c r="BC64" s="50">
        <v>0.68837995993171919</v>
      </c>
      <c r="BD64" s="50">
        <v>0.70055286481183288</v>
      </c>
      <c r="BE64" s="50">
        <v>0.71272576969194612</v>
      </c>
      <c r="BF64" s="50">
        <v>0.72474759584978765</v>
      </c>
      <c r="BG64" s="50">
        <v>0.87909692303397124</v>
      </c>
      <c r="BH64" s="50">
        <v>1.0735161806620548</v>
      </c>
      <c r="BI64" s="50">
        <v>1.2276099021219959</v>
      </c>
    </row>
    <row r="65" spans="2:61" x14ac:dyDescent="0.25">
      <c r="B65" s="23">
        <f t="shared" si="34"/>
        <v>18</v>
      </c>
      <c r="C65" s="50">
        <v>1.7476366791518132E-2</v>
      </c>
      <c r="D65" s="50">
        <v>3.4925994350687363E-2</v>
      </c>
      <c r="E65" s="50">
        <v>5.2328355678431936E-2</v>
      </c>
      <c r="F65" s="50">
        <v>6.968345077475184E-2</v>
      </c>
      <c r="G65" s="50">
        <v>8.7038545871071765E-2</v>
      </c>
      <c r="H65" s="50">
        <v>0.10428893740606898</v>
      </c>
      <c r="I65" s="50">
        <v>0.1215393289410662</v>
      </c>
      <c r="J65" s="50">
        <v>0.13873761499682394</v>
      </c>
      <c r="K65" s="50">
        <v>0.15588379557334217</v>
      </c>
      <c r="L65" s="50">
        <v>0.1730299761498604</v>
      </c>
      <c r="M65" s="50">
        <v>0.19007241326378319</v>
      </c>
      <c r="N65" s="50">
        <v>0.20711485037770599</v>
      </c>
      <c r="O65" s="50">
        <v>0.22410563996745733</v>
      </c>
      <c r="P65" s="50">
        <v>0.24104478203303717</v>
      </c>
      <c r="Q65" s="50">
        <v>0.25798392409861709</v>
      </c>
      <c r="R65" s="50">
        <v>0.27482020570025351</v>
      </c>
      <c r="S65" s="50">
        <v>0.29165648730188976</v>
      </c>
      <c r="T65" s="50">
        <v>0.30844155132675721</v>
      </c>
      <c r="U65" s="50">
        <v>0.32517539777485543</v>
      </c>
      <c r="V65" s="50">
        <v>0.34190924422295382</v>
      </c>
      <c r="W65" s="50">
        <v>0.35854107548425734</v>
      </c>
      <c r="X65" s="50">
        <v>0.37517290674556086</v>
      </c>
      <c r="Y65" s="50">
        <v>0.39175393940937397</v>
      </c>
      <c r="Z65" s="50">
        <v>0.4082841734756969</v>
      </c>
      <c r="AA65" s="50">
        <v>0.42481440754201999</v>
      </c>
      <c r="AB65" s="50">
        <v>0.44124346329551128</v>
      </c>
      <c r="AC65" s="50">
        <v>0.45767251904900252</v>
      </c>
      <c r="AD65" s="50">
        <v>0.47405119673966245</v>
      </c>
      <c r="AE65" s="50">
        <v>0.49037949636749129</v>
      </c>
      <c r="AF65" s="50">
        <v>0.50670779599531979</v>
      </c>
      <c r="AG65" s="50">
        <v>0.52293576700192368</v>
      </c>
      <c r="AH65" s="50">
        <v>0.53916373800852746</v>
      </c>
      <c r="AI65" s="50">
        <v>0.55534176194219553</v>
      </c>
      <c r="AJ65" s="50">
        <v>0.57146983880292801</v>
      </c>
      <c r="AK65" s="50">
        <v>0.58759791566366049</v>
      </c>
      <c r="AL65" s="50">
        <v>0.60362654115972492</v>
      </c>
      <c r="AM65" s="50">
        <v>0.61965516665578912</v>
      </c>
      <c r="AN65" s="50">
        <v>0.63563429253929782</v>
      </c>
      <c r="AO65" s="50">
        <v>0.65156391881025111</v>
      </c>
      <c r="AP65" s="50">
        <v>0.6674935450812044</v>
      </c>
      <c r="AQ65" s="50">
        <v>0.68332463442801827</v>
      </c>
      <c r="AR65" s="50">
        <v>0.69915572377483215</v>
      </c>
      <c r="AS65" s="50">
        <v>0.71493778118255114</v>
      </c>
      <c r="AT65" s="50">
        <v>0.73067080665117545</v>
      </c>
      <c r="AU65" s="50">
        <v>0.74640383211979966</v>
      </c>
      <c r="AV65" s="50">
        <v>0.76203927789238557</v>
      </c>
      <c r="AW65" s="50">
        <v>0.7776747236649717</v>
      </c>
      <c r="AX65" s="50">
        <v>0.79326162736045758</v>
      </c>
      <c r="AY65" s="50">
        <v>0.80879998897884364</v>
      </c>
      <c r="AZ65" s="50">
        <v>0.82433835059722949</v>
      </c>
      <c r="BA65" s="50">
        <v>0.83973210563840261</v>
      </c>
      <c r="BB65" s="50">
        <v>0.85512586067957586</v>
      </c>
      <c r="BC65" s="50">
        <v>0.8705196157207491</v>
      </c>
      <c r="BD65" s="50">
        <v>0.88591337076192256</v>
      </c>
      <c r="BE65" s="50">
        <v>0.90130712580309558</v>
      </c>
      <c r="BF65" s="50">
        <v>0.91650982793902636</v>
      </c>
      <c r="BG65" s="50">
        <v>1.11169871315942</v>
      </c>
      <c r="BH65" s="50">
        <v>1.3575597016982208</v>
      </c>
      <c r="BI65" s="50">
        <v>1.5524253500294036</v>
      </c>
    </row>
    <row r="66" spans="2:61" x14ac:dyDescent="0.25">
      <c r="B66" s="23">
        <f t="shared" si="34"/>
        <v>20</v>
      </c>
      <c r="C66" s="50">
        <v>2.1741089124506518E-2</v>
      </c>
      <c r="D66" s="50">
        <v>4.3448913896041205E-2</v>
      </c>
      <c r="E66" s="50">
        <v>6.5097938153587942E-2</v>
      </c>
      <c r="F66" s="50">
        <v>8.6688161897146732E-2</v>
      </c>
      <c r="G66" s="50">
        <v>0.10827838564070555</v>
      </c>
      <c r="H66" s="50">
        <v>0.12973835522528923</v>
      </c>
      <c r="I66" s="50">
        <v>0.15119832480987294</v>
      </c>
      <c r="J66" s="50">
        <v>0.17259347372082717</v>
      </c>
      <c r="K66" s="50">
        <v>0.19392380195815204</v>
      </c>
      <c r="L66" s="50">
        <v>0.21525413019547687</v>
      </c>
      <c r="M66" s="50">
        <v>0.23645539866349849</v>
      </c>
      <c r="N66" s="50">
        <v>0.25765666713152002</v>
      </c>
      <c r="O66" s="50">
        <v>0.2787936846348264</v>
      </c>
      <c r="P66" s="50">
        <v>0.29986645117341765</v>
      </c>
      <c r="Q66" s="50">
        <v>0.3209392177120089</v>
      </c>
      <c r="R66" s="50">
        <v>0.34188402295631837</v>
      </c>
      <c r="S66" s="50">
        <v>0.36282882820062784</v>
      </c>
      <c r="T66" s="50">
        <v>0.38370991734681692</v>
      </c>
      <c r="U66" s="50">
        <v>0.40452729039488566</v>
      </c>
      <c r="V66" s="50">
        <v>0.42534466344295441</v>
      </c>
      <c r="W66" s="50">
        <v>0.44603512674515794</v>
      </c>
      <c r="X66" s="50">
        <v>0.46672559004736142</v>
      </c>
      <c r="Y66" s="50">
        <v>0.48735285847338655</v>
      </c>
      <c r="Z66" s="50">
        <v>0.5079169320232334</v>
      </c>
      <c r="AA66" s="50">
        <v>0.52848100557308031</v>
      </c>
      <c r="AB66" s="50">
        <v>0.54891921047168057</v>
      </c>
      <c r="AC66" s="50">
        <v>0.56935741537028084</v>
      </c>
      <c r="AD66" s="50">
        <v>0.58973294854958158</v>
      </c>
      <c r="AE66" s="50">
        <v>0.61004581000958247</v>
      </c>
      <c r="AF66" s="50">
        <v>0.63035867146958346</v>
      </c>
      <c r="AG66" s="50">
        <v>0.65054672131846358</v>
      </c>
      <c r="AH66" s="50">
        <v>0.67073477116734381</v>
      </c>
      <c r="AI66" s="50">
        <v>0.6908606854604098</v>
      </c>
      <c r="AJ66" s="50">
        <v>0.71092446419766153</v>
      </c>
      <c r="AK66" s="50">
        <v>0.73098824293491338</v>
      </c>
      <c r="AL66" s="50">
        <v>0.75092830139273892</v>
      </c>
      <c r="AM66" s="50">
        <v>0.77086835985056434</v>
      </c>
      <c r="AN66" s="50">
        <v>0.7907468394058047</v>
      </c>
      <c r="AO66" s="50">
        <v>0.81056374005845966</v>
      </c>
      <c r="AP66" s="50">
        <v>0.83038064071111484</v>
      </c>
      <c r="AQ66" s="50">
        <v>0.85007495867393945</v>
      </c>
      <c r="AR66" s="50">
        <v>0.86976927663676395</v>
      </c>
      <c r="AS66" s="50">
        <v>0.88940259749586981</v>
      </c>
      <c r="AT66" s="50">
        <v>0.90897492125125712</v>
      </c>
      <c r="AU66" s="50">
        <v>0.9285472450066441</v>
      </c>
      <c r="AV66" s="50">
        <v>0.94799817689073329</v>
      </c>
      <c r="AW66" s="50">
        <v>0.96744910877482293</v>
      </c>
      <c r="AX66" s="50">
        <v>0.98683965295721698</v>
      </c>
      <c r="AY66" s="50">
        <v>1.0061698094379163</v>
      </c>
      <c r="AZ66" s="50">
        <v>1.0254999659186155</v>
      </c>
      <c r="BA66" s="50">
        <v>1.0446502277724348</v>
      </c>
      <c r="BB66" s="50">
        <v>1.063800489626255</v>
      </c>
      <c r="BC66" s="50">
        <v>1.0829507514800742</v>
      </c>
      <c r="BD66" s="50">
        <v>1.102101013333894</v>
      </c>
      <c r="BE66" s="50">
        <v>1.1212512751877133</v>
      </c>
      <c r="BF66" s="50">
        <v>1.1401638618834222</v>
      </c>
      <c r="BG66" s="50">
        <v>1.3829842947750706</v>
      </c>
      <c r="BH66" s="50">
        <v>1.6888422415569835</v>
      </c>
      <c r="BI66" s="50">
        <v>1.9312605587171126</v>
      </c>
    </row>
    <row r="67" spans="2:61" x14ac:dyDescent="0.25">
      <c r="B67" s="23">
        <v>24</v>
      </c>
      <c r="C67" s="50">
        <v>3.1480887514902058E-2</v>
      </c>
      <c r="D67" s="50">
        <v>6.291360856729776E-2</v>
      </c>
      <c r="E67" s="50">
        <v>9.4261187042149544E-2</v>
      </c>
      <c r="F67" s="50">
        <v>0.1255236229394574</v>
      </c>
      <c r="G67" s="50">
        <v>0.15678605883676527</v>
      </c>
      <c r="H67" s="50">
        <v>0.18785988796724737</v>
      </c>
      <c r="I67" s="50">
        <v>0.21893371709772946</v>
      </c>
      <c r="J67" s="50">
        <v>0.24991368651752827</v>
      </c>
      <c r="K67" s="50">
        <v>0.28079979622664347</v>
      </c>
      <c r="L67" s="50">
        <v>0.31168590593575884</v>
      </c>
      <c r="M67" s="50">
        <v>0.34238513834278189</v>
      </c>
      <c r="N67" s="50">
        <v>0.37308437074980505</v>
      </c>
      <c r="O67" s="50">
        <v>0.40369056837916178</v>
      </c>
      <c r="P67" s="50">
        <v>0.43420373123085204</v>
      </c>
      <c r="Q67" s="50">
        <v>0.46471689408254246</v>
      </c>
      <c r="R67" s="50">
        <v>0.49504477021338489</v>
      </c>
      <c r="S67" s="50">
        <v>0.52537264634422698</v>
      </c>
      <c r="T67" s="50">
        <v>0.55560826217907744</v>
      </c>
      <c r="U67" s="50">
        <v>0.5857516177179356</v>
      </c>
      <c r="V67" s="50">
        <v>0.6158949732567941</v>
      </c>
      <c r="W67" s="50">
        <v>0.6458545647067766</v>
      </c>
      <c r="X67" s="50">
        <v>0.67581415615675922</v>
      </c>
      <c r="Y67" s="50">
        <v>0.70568224203509844</v>
      </c>
      <c r="Z67" s="50">
        <v>0.7354588223417946</v>
      </c>
      <c r="AA67" s="50">
        <v>0.76523540264849077</v>
      </c>
      <c r="AB67" s="50">
        <v>0.79482972636128491</v>
      </c>
      <c r="AC67" s="50">
        <v>0.82442405007407882</v>
      </c>
      <c r="AD67" s="50">
        <v>0.85392762574134784</v>
      </c>
      <c r="AE67" s="50">
        <v>0.88334045336309186</v>
      </c>
      <c r="AF67" s="50">
        <v>0.91275328098483566</v>
      </c>
      <c r="AG67" s="50">
        <v>0.94198538259659237</v>
      </c>
      <c r="AH67" s="50">
        <v>0.97121748420834886</v>
      </c>
      <c r="AI67" s="50">
        <v>1.0003596141341398</v>
      </c>
      <c r="AJ67" s="50">
        <v>1.0294117723739651</v>
      </c>
      <c r="AK67" s="50">
        <v>1.0584639306137904</v>
      </c>
      <c r="AL67" s="50">
        <v>1.0873369430814042</v>
      </c>
      <c r="AM67" s="50">
        <v>1.1162099555490175</v>
      </c>
      <c r="AN67" s="50">
        <v>1.1449938023591759</v>
      </c>
      <c r="AO67" s="50">
        <v>1.1736884835118799</v>
      </c>
      <c r="AP67" s="50">
        <v>1.2023831646645833</v>
      </c>
      <c r="AQ67" s="50">
        <v>1.2309003472638456</v>
      </c>
      <c r="AR67" s="50">
        <v>1.2594175298631081</v>
      </c>
      <c r="AS67" s="50">
        <v>1.287846389244067</v>
      </c>
      <c r="AT67" s="50">
        <v>1.3161869254067229</v>
      </c>
      <c r="AU67" s="50">
        <v>1.3445274615693781</v>
      </c>
      <c r="AV67" s="50">
        <v>1.3726922234723509</v>
      </c>
      <c r="AW67" s="50">
        <v>1.4008569853753234</v>
      </c>
      <c r="AX67" s="50">
        <v>1.4289343064682491</v>
      </c>
      <c r="AY67" s="50">
        <v>1.4569241867511287</v>
      </c>
      <c r="AZ67" s="50">
        <v>1.484914067034008</v>
      </c>
      <c r="BA67" s="50">
        <v>1.5126434616309632</v>
      </c>
      <c r="BB67" s="50">
        <v>1.5403728562279186</v>
      </c>
      <c r="BC67" s="50">
        <v>1.5681022508248736</v>
      </c>
      <c r="BD67" s="50">
        <v>1.5958316454218295</v>
      </c>
      <c r="BE67" s="50">
        <v>1.6235610400187848</v>
      </c>
      <c r="BF67" s="50">
        <v>1.6509462832774735</v>
      </c>
      <c r="BG67" s="50">
        <v>2.0025479298373625</v>
      </c>
      <c r="BH67" s="50">
        <v>2.4454272889641726</v>
      </c>
      <c r="BI67" s="50">
        <v>2.7964466758203543</v>
      </c>
    </row>
    <row r="68" spans="2:61" x14ac:dyDescent="0.25">
      <c r="B68" s="23">
        <f t="shared" ref="B68:B73" si="35">B67+2</f>
        <v>26</v>
      </c>
      <c r="C68" s="50">
        <v>3.8339901451705682E-2</v>
      </c>
      <c r="D68" s="50">
        <v>7.6621141996062528E-2</v>
      </c>
      <c r="E68" s="50">
        <v>0.11479868921122616</v>
      </c>
      <c r="F68" s="50">
        <v>0.15287254309719653</v>
      </c>
      <c r="G68" s="50">
        <v>0.19094639698316684</v>
      </c>
      <c r="H68" s="50">
        <v>0.22879055071059498</v>
      </c>
      <c r="I68" s="50">
        <v>0.26663470443802306</v>
      </c>
      <c r="J68" s="50">
        <v>0.30436454842573424</v>
      </c>
      <c r="K68" s="50">
        <v>0.34198008267372848</v>
      </c>
      <c r="L68" s="50">
        <v>0.37959561692172256</v>
      </c>
      <c r="M68" s="50">
        <v>0.41698355728938608</v>
      </c>
      <c r="N68" s="50">
        <v>0.45437149765704926</v>
      </c>
      <c r="O68" s="50">
        <v>0.49164613295332216</v>
      </c>
      <c r="P68" s="50">
        <v>0.5288074631782046</v>
      </c>
      <c r="Q68" s="50">
        <v>0.56596879340308703</v>
      </c>
      <c r="R68" s="50">
        <v>0.60290446688261068</v>
      </c>
      <c r="S68" s="50">
        <v>0.63984014036213421</v>
      </c>
      <c r="T68" s="50">
        <v>0.6766634519949799</v>
      </c>
      <c r="U68" s="50">
        <v>0.71337440178114719</v>
      </c>
      <c r="V68" s="50">
        <v>0.7500853515673146</v>
      </c>
      <c r="W68" s="50">
        <v>0.78657249898912596</v>
      </c>
      <c r="X68" s="50">
        <v>0.82305964641093776</v>
      </c>
      <c r="Y68" s="50">
        <v>0.85943535114875791</v>
      </c>
      <c r="Z68" s="50">
        <v>0.89569961320258717</v>
      </c>
      <c r="AA68" s="50">
        <v>0.93196387525641633</v>
      </c>
      <c r="AB68" s="50">
        <v>0.96800617089186491</v>
      </c>
      <c r="AC68" s="50">
        <v>1.0040484665273135</v>
      </c>
      <c r="AD68" s="50">
        <v>1.0399802420536732</v>
      </c>
      <c r="AE68" s="50">
        <v>1.0758014974709438</v>
      </c>
      <c r="AF68" s="50">
        <v>1.1116227528882141</v>
      </c>
      <c r="AG68" s="50">
        <v>1.1472239059526079</v>
      </c>
      <c r="AH68" s="50">
        <v>1.1828250590170017</v>
      </c>
      <c r="AI68" s="50">
        <v>1.2183166374840553</v>
      </c>
      <c r="AJ68" s="50">
        <v>1.2536986413537683</v>
      </c>
      <c r="AK68" s="50">
        <v>1.2890806452234809</v>
      </c>
      <c r="AL68" s="50">
        <v>1.3242444712781998</v>
      </c>
      <c r="AM68" s="50">
        <v>1.3594082973329182</v>
      </c>
      <c r="AN68" s="50">
        <v>1.3944635304352275</v>
      </c>
      <c r="AO68" s="50">
        <v>1.4294101705851274</v>
      </c>
      <c r="AP68" s="50">
        <v>1.4643568107350278</v>
      </c>
      <c r="AQ68" s="50">
        <v>1.4990872791825409</v>
      </c>
      <c r="AR68" s="50">
        <v>1.5338177476300547</v>
      </c>
      <c r="AS68" s="50">
        <v>1.568440649113833</v>
      </c>
      <c r="AT68" s="50">
        <v>1.6029559836338765</v>
      </c>
      <c r="AU68" s="50">
        <v>1.6374713181539202</v>
      </c>
      <c r="AV68" s="50">
        <v>1.6717725809521677</v>
      </c>
      <c r="AW68" s="50">
        <v>1.7060738437504155</v>
      </c>
      <c r="AX68" s="50">
        <v>1.7402686142511237</v>
      </c>
      <c r="AY68" s="50">
        <v>1.7743568924542923</v>
      </c>
      <c r="AZ68" s="50">
        <v>1.8084451706574605</v>
      </c>
      <c r="BA68" s="50">
        <v>1.8422162088996148</v>
      </c>
      <c r="BB68" s="50">
        <v>1.87598724714177</v>
      </c>
      <c r="BC68" s="50">
        <v>1.9097582853839241</v>
      </c>
      <c r="BD68" s="50">
        <v>1.9435293236260791</v>
      </c>
      <c r="BE68" s="50">
        <v>1.9773003618682332</v>
      </c>
      <c r="BF68" s="50">
        <v>2.0106522655358829</v>
      </c>
      <c r="BG68" s="50">
        <v>2.438860411604904</v>
      </c>
      <c r="BH68" s="50">
        <v>2.9782337369559988</v>
      </c>
      <c r="BI68" s="50">
        <v>3.405732761350833</v>
      </c>
    </row>
    <row r="69" spans="2:61" x14ac:dyDescent="0.25">
      <c r="B69" s="23">
        <f t="shared" si="35"/>
        <v>28</v>
      </c>
      <c r="C69" s="50">
        <v>4.4749941770632316E-2</v>
      </c>
      <c r="D69" s="50">
        <v>8.9431415128757671E-2</v>
      </c>
      <c r="E69" s="50">
        <v>0.13399185869109059</v>
      </c>
      <c r="F69" s="50">
        <v>0.17843127245763113</v>
      </c>
      <c r="G69" s="50">
        <v>0.22287068622417167</v>
      </c>
      <c r="H69" s="50">
        <v>0.26704199630942294</v>
      </c>
      <c r="I69" s="50">
        <v>0.31121330639467415</v>
      </c>
      <c r="J69" s="50">
        <v>0.35525119531809501</v>
      </c>
      <c r="K69" s="50">
        <v>0.39915566307968547</v>
      </c>
      <c r="L69" s="50">
        <v>0.44306013084127593</v>
      </c>
      <c r="M69" s="50">
        <v>0.48669895334801383</v>
      </c>
      <c r="N69" s="50">
        <v>0.53033777585475161</v>
      </c>
      <c r="O69" s="50">
        <v>0.57384434983827859</v>
      </c>
      <c r="P69" s="50">
        <v>0.61721867529859475</v>
      </c>
      <c r="Q69" s="50">
        <v>0.66059300075891081</v>
      </c>
      <c r="R69" s="50">
        <v>0.70370394196854824</v>
      </c>
      <c r="S69" s="50">
        <v>0.74681488317818523</v>
      </c>
      <c r="T69" s="50">
        <v>0.78979467678687165</v>
      </c>
      <c r="U69" s="50">
        <v>0.83264332279460707</v>
      </c>
      <c r="V69" s="50">
        <v>0.8754919688023427</v>
      </c>
      <c r="W69" s="50">
        <v>0.9180793949739845</v>
      </c>
      <c r="X69" s="50">
        <v>0.96066682114562674</v>
      </c>
      <c r="Y69" s="50">
        <v>1.0031241725536271</v>
      </c>
      <c r="Z69" s="50">
        <v>1.0454514491979858</v>
      </c>
      <c r="AA69" s="50">
        <v>1.0877787258423448</v>
      </c>
      <c r="AB69" s="50">
        <v>1.1298469255480195</v>
      </c>
      <c r="AC69" s="50">
        <v>1.1719151252536943</v>
      </c>
      <c r="AD69" s="50">
        <v>1.2138543270157391</v>
      </c>
      <c r="AE69" s="50">
        <v>1.2556645308341556</v>
      </c>
      <c r="AF69" s="50">
        <v>1.2974747346525717</v>
      </c>
      <c r="AG69" s="50">
        <v>1.3390280372505399</v>
      </c>
      <c r="AH69" s="50">
        <v>1.3805813398485074</v>
      </c>
      <c r="AI69" s="50">
        <v>1.4220067480945111</v>
      </c>
      <c r="AJ69" s="50">
        <v>1.4633042619885515</v>
      </c>
      <c r="AK69" s="50">
        <v>1.5046017758825914</v>
      </c>
      <c r="AL69" s="50">
        <v>1.5456446348571622</v>
      </c>
      <c r="AM69" s="50">
        <v>1.5866874938317332</v>
      </c>
      <c r="AN69" s="50">
        <v>1.6276036042202868</v>
      </c>
      <c r="AO69" s="50">
        <v>1.6683929660228254</v>
      </c>
      <c r="AP69" s="50">
        <v>1.7091823278253633</v>
      </c>
      <c r="AQ69" s="50">
        <v>1.7497193762225982</v>
      </c>
      <c r="AR69" s="50">
        <v>1.7902564246198331</v>
      </c>
      <c r="AS69" s="50">
        <v>1.8306679219545634</v>
      </c>
      <c r="AT69" s="50">
        <v>1.8709538682267894</v>
      </c>
      <c r="AU69" s="50">
        <v>1.9112398144990146</v>
      </c>
      <c r="AV69" s="50">
        <v>1.9512758984418557</v>
      </c>
      <c r="AW69" s="50">
        <v>1.991311982384697</v>
      </c>
      <c r="AX69" s="50">
        <v>2.0312237696044511</v>
      </c>
      <c r="AY69" s="50">
        <v>2.0710112601011184</v>
      </c>
      <c r="AZ69" s="50">
        <v>2.1107987505977857</v>
      </c>
      <c r="BA69" s="50">
        <v>2.1502159618489367</v>
      </c>
      <c r="BB69" s="50">
        <v>2.1896331731000891</v>
      </c>
      <c r="BC69" s="50">
        <v>2.2290503843512401</v>
      </c>
      <c r="BD69" s="50">
        <v>2.2684675956023925</v>
      </c>
      <c r="BE69" s="50">
        <v>2.3078848068535431</v>
      </c>
      <c r="BF69" s="50">
        <v>2.3468128085060016</v>
      </c>
      <c r="BG69" s="50">
        <v>2.8466129873467487</v>
      </c>
      <c r="BH69" s="50">
        <v>3.4761640291640448</v>
      </c>
      <c r="BI69" s="50">
        <v>3.9751365284222517</v>
      </c>
    </row>
    <row r="70" spans="2:61" x14ac:dyDescent="0.25">
      <c r="B70" s="23">
        <f t="shared" si="35"/>
        <v>30</v>
      </c>
      <c r="C70" s="50">
        <v>5.1655228349618457E-2</v>
      </c>
      <c r="D70" s="50">
        <v>0.10323142304370923</v>
      </c>
      <c r="E70" s="50">
        <v>0.15466791204229749</v>
      </c>
      <c r="F70" s="50">
        <v>0.20596469534538317</v>
      </c>
      <c r="G70" s="50">
        <v>0.25726147864846888</v>
      </c>
      <c r="H70" s="50">
        <v>0.30824878765213859</v>
      </c>
      <c r="I70" s="50">
        <v>0.3592360966558083</v>
      </c>
      <c r="J70" s="50">
        <v>0.41006939650754787</v>
      </c>
      <c r="K70" s="50">
        <v>0.46074868720735723</v>
      </c>
      <c r="L70" s="50">
        <v>0.51142797790716654</v>
      </c>
      <c r="M70" s="50">
        <v>0.56180063208955355</v>
      </c>
      <c r="N70" s="50">
        <v>0.61217328627194045</v>
      </c>
      <c r="O70" s="50">
        <v>0.66239328488886595</v>
      </c>
      <c r="P70" s="50">
        <v>0.71246062794033027</v>
      </c>
      <c r="Q70" s="50">
        <v>0.76252797099179459</v>
      </c>
      <c r="R70" s="50">
        <v>0.81229128742167711</v>
      </c>
      <c r="S70" s="50">
        <v>0.86205460385155941</v>
      </c>
      <c r="T70" s="50">
        <v>0.9116665355196617</v>
      </c>
      <c r="U70" s="50">
        <v>0.96112708242598377</v>
      </c>
      <c r="V70" s="50">
        <v>1.0105876293323057</v>
      </c>
      <c r="W70" s="50">
        <v>1.0597466480187252</v>
      </c>
      <c r="X70" s="50">
        <v>1.1089056667051442</v>
      </c>
      <c r="Y70" s="50">
        <v>1.1579145390147731</v>
      </c>
      <c r="Z70" s="50">
        <v>1.2067732649476122</v>
      </c>
      <c r="AA70" s="50">
        <v>1.2556319908804514</v>
      </c>
      <c r="AB70" s="50">
        <v>1.3041916621576117</v>
      </c>
      <c r="AC70" s="50">
        <v>1.3527513334347723</v>
      </c>
      <c r="AD70" s="50">
        <v>1.4011621013173996</v>
      </c>
      <c r="AE70" s="50">
        <v>1.4494239658054939</v>
      </c>
      <c r="AF70" s="50">
        <v>1.4976858302935883</v>
      </c>
      <c r="AG70" s="50">
        <v>1.5456511515755809</v>
      </c>
      <c r="AH70" s="50">
        <v>1.593616472857573</v>
      </c>
      <c r="AI70" s="50">
        <v>1.6414341646300301</v>
      </c>
      <c r="AJ70" s="50">
        <v>1.6891042268929521</v>
      </c>
      <c r="AK70" s="50">
        <v>1.7367742891558744</v>
      </c>
      <c r="AL70" s="50">
        <v>1.7841504011365152</v>
      </c>
      <c r="AM70" s="50">
        <v>1.8315265131171563</v>
      </c>
      <c r="AN70" s="50">
        <v>1.8787563181553828</v>
      </c>
      <c r="AO70" s="50">
        <v>1.9258398162511958</v>
      </c>
      <c r="AP70" s="50">
        <v>1.9729233143470091</v>
      </c>
      <c r="AQ70" s="50">
        <v>2.019715564989732</v>
      </c>
      <c r="AR70" s="50">
        <v>2.0665078156324554</v>
      </c>
      <c r="AS70" s="50">
        <v>2.113155141644071</v>
      </c>
      <c r="AT70" s="50">
        <v>2.1596575430245792</v>
      </c>
      <c r="AU70" s="50">
        <v>2.2061599444050857</v>
      </c>
      <c r="AV70" s="50">
        <v>2.2523739276297334</v>
      </c>
      <c r="AW70" s="50">
        <v>2.2985879108543807</v>
      </c>
      <c r="AX70" s="50">
        <v>2.3446584173422962</v>
      </c>
      <c r="AY70" s="50">
        <v>2.390585447093482</v>
      </c>
      <c r="AZ70" s="50">
        <v>2.4365124768446669</v>
      </c>
      <c r="BA70" s="50">
        <v>2.4820120901965566</v>
      </c>
      <c r="BB70" s="50">
        <v>2.5275117035484476</v>
      </c>
      <c r="BC70" s="50">
        <v>2.5730113169003377</v>
      </c>
      <c r="BD70" s="50">
        <v>2.6185109302522291</v>
      </c>
      <c r="BE70" s="50">
        <v>2.6640105436041188</v>
      </c>
      <c r="BF70" s="50">
        <v>2.7089454582652071</v>
      </c>
      <c r="BG70" s="50">
        <v>3.2858689434291999</v>
      </c>
      <c r="BH70" s="50">
        <v>4.0125649241635033</v>
      </c>
      <c r="BI70" s="50">
        <v>4.5885330119315508</v>
      </c>
    </row>
    <row r="71" spans="2:61" x14ac:dyDescent="0.25">
      <c r="B71" s="23">
        <f t="shared" si="35"/>
        <v>32</v>
      </c>
      <c r="C71" s="50">
        <v>5.7630807803433097E-2</v>
      </c>
      <c r="D71" s="50">
        <v>0.11517343918102814</v>
      </c>
      <c r="E71" s="50">
        <v>0.17256020343067133</v>
      </c>
      <c r="F71" s="50">
        <v>0.22979110055236268</v>
      </c>
      <c r="G71" s="50">
        <v>0.28702199767405401</v>
      </c>
      <c r="H71" s="50">
        <v>0.34390761989445118</v>
      </c>
      <c r="I71" s="50">
        <v>0.40079324211484829</v>
      </c>
      <c r="J71" s="50">
        <v>0.45750703909860563</v>
      </c>
      <c r="K71" s="50">
        <v>0.51404901084572296</v>
      </c>
      <c r="L71" s="50">
        <v>0.57059098259284047</v>
      </c>
      <c r="M71" s="50">
        <v>0.62679084550091702</v>
      </c>
      <c r="N71" s="50">
        <v>0.68299070840899345</v>
      </c>
      <c r="O71" s="50">
        <v>0.73902025625247125</v>
      </c>
      <c r="P71" s="50">
        <v>0.79487948903135031</v>
      </c>
      <c r="Q71" s="50">
        <v>0.85073872181022925</v>
      </c>
      <c r="R71" s="50">
        <v>0.90625875756384455</v>
      </c>
      <c r="S71" s="50">
        <v>0.96177879331745963</v>
      </c>
      <c r="T71" s="50">
        <v>1.0171299318192524</v>
      </c>
      <c r="U71" s="50">
        <v>1.0723121730692222</v>
      </c>
      <c r="V71" s="50">
        <v>1.1274944143191925</v>
      </c>
      <c r="W71" s="50">
        <v>1.182340245965648</v>
      </c>
      <c r="X71" s="50">
        <v>1.2371860776121038</v>
      </c>
      <c r="Y71" s="50">
        <v>1.2918643936505632</v>
      </c>
      <c r="Z71" s="50">
        <v>1.3463751940810265</v>
      </c>
      <c r="AA71" s="50">
        <v>1.4008859945114898</v>
      </c>
      <c r="AB71" s="50">
        <v>1.4550631450494873</v>
      </c>
      <c r="AC71" s="50">
        <v>1.5092402955874853</v>
      </c>
      <c r="AD71" s="50">
        <v>1.5632513172904008</v>
      </c>
      <c r="AE71" s="50">
        <v>1.6170962101582345</v>
      </c>
      <c r="AF71" s="50">
        <v>1.6709411030260688</v>
      </c>
      <c r="AG71" s="50">
        <v>1.7244551479804908</v>
      </c>
      <c r="AH71" s="50">
        <v>1.7779691929349128</v>
      </c>
      <c r="AI71" s="50">
        <v>1.8313185303047981</v>
      </c>
      <c r="AJ71" s="50">
        <v>1.8845031600901481</v>
      </c>
      <c r="AK71" s="50">
        <v>1.9376877898754978</v>
      </c>
      <c r="AL71" s="50">
        <v>1.9905444646258363</v>
      </c>
      <c r="AM71" s="50">
        <v>2.0434011393761744</v>
      </c>
      <c r="AN71" s="50">
        <v>2.0960945821062902</v>
      </c>
      <c r="AO71" s="50">
        <v>2.1486247928161832</v>
      </c>
      <c r="AP71" s="50">
        <v>2.2011550035260763</v>
      </c>
      <c r="AQ71" s="50">
        <v>2.2533602746988013</v>
      </c>
      <c r="AR71" s="50">
        <v>2.3055655458715263</v>
      </c>
      <c r="AS71" s="50">
        <v>2.3576091272438529</v>
      </c>
      <c r="AT71" s="50">
        <v>2.4094910188157819</v>
      </c>
      <c r="AU71" s="50">
        <v>2.4613729103877104</v>
      </c>
      <c r="AV71" s="50">
        <v>2.5129330190184254</v>
      </c>
      <c r="AW71" s="50">
        <v>2.5644931276491416</v>
      </c>
      <c r="AX71" s="50">
        <v>2.6158931618691335</v>
      </c>
      <c r="AY71" s="50">
        <v>2.6671331216784036</v>
      </c>
      <c r="AZ71" s="50">
        <v>2.7183730814876732</v>
      </c>
      <c r="BA71" s="50">
        <v>2.7691361805193058</v>
      </c>
      <c r="BB71" s="50">
        <v>2.8198992795509397</v>
      </c>
      <c r="BC71" s="50">
        <v>2.8706623785825722</v>
      </c>
      <c r="BD71" s="50">
        <v>2.921425477614207</v>
      </c>
      <c r="BE71" s="50">
        <v>2.9721885766458396</v>
      </c>
      <c r="BF71" s="50">
        <v>3.0223216515200693</v>
      </c>
      <c r="BG71" s="50">
        <v>3.6659847917880075</v>
      </c>
      <c r="BH71" s="50">
        <v>4.4767464075100163</v>
      </c>
      <c r="BI71" s="50">
        <v>5.1193436281128823</v>
      </c>
    </row>
    <row r="72" spans="2:61" x14ac:dyDescent="0.25">
      <c r="B72" s="23">
        <f t="shared" si="35"/>
        <v>34</v>
      </c>
      <c r="C72" s="50">
        <v>6.5433752505554457E-2</v>
      </c>
      <c r="D72" s="50">
        <v>0.13076738990523032</v>
      </c>
      <c r="E72" s="50">
        <v>0.19592405648907205</v>
      </c>
      <c r="F72" s="50">
        <v>0.26090375225707962</v>
      </c>
      <c r="G72" s="50">
        <v>0.32588344802508717</v>
      </c>
      <c r="H72" s="50">
        <v>0.39047112026785247</v>
      </c>
      <c r="I72" s="50">
        <v>0.4550587925106177</v>
      </c>
      <c r="J72" s="50">
        <v>0.51945137517478746</v>
      </c>
      <c r="K72" s="50">
        <v>0.58364886826036133</v>
      </c>
      <c r="L72" s="50">
        <v>0.64784636134593521</v>
      </c>
      <c r="M72" s="50">
        <v>0.71165542563869888</v>
      </c>
      <c r="N72" s="50">
        <v>0.77546448993146244</v>
      </c>
      <c r="O72" s="50">
        <v>0.83908017928797796</v>
      </c>
      <c r="P72" s="50">
        <v>0.9025024937082452</v>
      </c>
      <c r="Q72" s="50">
        <v>0.96592480812851256</v>
      </c>
      <c r="R72" s="50">
        <v>1.0289619998158586</v>
      </c>
      <c r="S72" s="50">
        <v>1.0919991915032039</v>
      </c>
      <c r="T72" s="50">
        <v>1.154844618032367</v>
      </c>
      <c r="U72" s="50">
        <v>1.2174982794033473</v>
      </c>
      <c r="V72" s="50">
        <v>1.2801519407743274</v>
      </c>
      <c r="W72" s="50">
        <v>1.3424236442381423</v>
      </c>
      <c r="X72" s="50">
        <v>1.404695347701957</v>
      </c>
      <c r="Y72" s="50">
        <v>1.4667768547195956</v>
      </c>
      <c r="Z72" s="50">
        <v>1.5286681652910592</v>
      </c>
      <c r="AA72" s="50">
        <v>1.5905594758625232</v>
      </c>
      <c r="AB72" s="50">
        <v>1.6520719618899762</v>
      </c>
      <c r="AC72" s="50">
        <v>1.7135844479174294</v>
      </c>
      <c r="AD72" s="50">
        <v>1.7749083120342566</v>
      </c>
      <c r="AE72" s="50">
        <v>1.8360435542404583</v>
      </c>
      <c r="AF72" s="50">
        <v>1.8971787964466602</v>
      </c>
      <c r="AG72" s="50">
        <v>1.957938395462903</v>
      </c>
      <c r="AH72" s="50">
        <v>2.0186979944791461</v>
      </c>
      <c r="AI72" s="50">
        <v>2.0792705852660558</v>
      </c>
      <c r="AJ72" s="50">
        <v>2.1396561678236341</v>
      </c>
      <c r="AK72" s="50">
        <v>2.200041750381212</v>
      </c>
      <c r="AL72" s="50">
        <v>2.2600549743095808</v>
      </c>
      <c r="AM72" s="50">
        <v>2.3200681982379496</v>
      </c>
      <c r="AN72" s="50">
        <v>2.3798960892858796</v>
      </c>
      <c r="AO72" s="50">
        <v>2.439538647453372</v>
      </c>
      <c r="AP72" s="50">
        <v>2.4991812056208627</v>
      </c>
      <c r="AQ72" s="50">
        <v>2.5584548289414433</v>
      </c>
      <c r="AR72" s="50">
        <v>2.617728452262023</v>
      </c>
      <c r="AS72" s="50">
        <v>2.6768184937314161</v>
      </c>
      <c r="AT72" s="50">
        <v>2.735724953349624</v>
      </c>
      <c r="AU72" s="50">
        <v>2.7946314129678314</v>
      </c>
      <c r="AV72" s="50">
        <v>2.8531725217235677</v>
      </c>
      <c r="AW72" s="50">
        <v>2.911713630479305</v>
      </c>
      <c r="AX72" s="50">
        <v>2.9700729914898165</v>
      </c>
      <c r="AY72" s="50">
        <v>3.028250604755105</v>
      </c>
      <c r="AZ72" s="50">
        <v>3.0864282180203939</v>
      </c>
      <c r="BA72" s="50">
        <v>3.1440644057653269</v>
      </c>
      <c r="BB72" s="50">
        <v>3.2017005935102612</v>
      </c>
      <c r="BC72" s="50">
        <v>3.2593367812551945</v>
      </c>
      <c r="BD72" s="50">
        <v>3.3169729690001284</v>
      </c>
      <c r="BE72" s="50">
        <v>3.3746091567450618</v>
      </c>
      <c r="BF72" s="50">
        <v>3.431530017976983</v>
      </c>
      <c r="BG72" s="50">
        <v>4.1623421690211568</v>
      </c>
      <c r="BH72" s="50">
        <v>5.0828771558827688</v>
      </c>
      <c r="BI72" s="50">
        <v>5.8124790666715391</v>
      </c>
    </row>
    <row r="73" spans="2:61" x14ac:dyDescent="0.25">
      <c r="B73" s="23">
        <f t="shared" si="35"/>
        <v>36</v>
      </c>
      <c r="C73" s="50">
        <v>7.3039856183602356E-2</v>
      </c>
      <c r="D73" s="50">
        <v>0.14596795975245802</v>
      </c>
      <c r="E73" s="50">
        <v>0.21869852118988664</v>
      </c>
      <c r="F73" s="50">
        <v>0.29123154049588817</v>
      </c>
      <c r="G73" s="50">
        <v>0.36376455980188976</v>
      </c>
      <c r="H73" s="50">
        <v>0.4358599862630998</v>
      </c>
      <c r="I73" s="50">
        <v>0.50795541272430977</v>
      </c>
      <c r="J73" s="50">
        <v>0.57983307214300872</v>
      </c>
      <c r="K73" s="50">
        <v>0.65149296451919636</v>
      </c>
      <c r="L73" s="50">
        <v>0.72315285689538367</v>
      </c>
      <c r="M73" s="50">
        <v>0.79437916901554018</v>
      </c>
      <c r="N73" s="50">
        <v>0.86560548113569646</v>
      </c>
      <c r="O73" s="50">
        <v>0.93661594016792449</v>
      </c>
      <c r="P73" s="50">
        <v>1.0074105461122236</v>
      </c>
      <c r="Q73" s="50">
        <v>1.0782051520565232</v>
      </c>
      <c r="R73" s="50">
        <v>1.1485698681053402</v>
      </c>
      <c r="S73" s="50">
        <v>1.218934584154157</v>
      </c>
      <c r="T73" s="50">
        <v>1.2890852440157872</v>
      </c>
      <c r="U73" s="50">
        <v>1.3590218476902289</v>
      </c>
      <c r="V73" s="50">
        <v>1.4289584513646711</v>
      </c>
      <c r="W73" s="50">
        <v>1.4984686978528103</v>
      </c>
      <c r="X73" s="50">
        <v>1.5679789443409493</v>
      </c>
      <c r="Y73" s="50">
        <v>1.6372768857030122</v>
      </c>
      <c r="Z73" s="50">
        <v>1.7063625219389993</v>
      </c>
      <c r="AA73" s="50">
        <v>1.7754481581749872</v>
      </c>
      <c r="AB73" s="50">
        <v>1.8441109348139952</v>
      </c>
      <c r="AC73" s="50">
        <v>1.912773711453003</v>
      </c>
      <c r="AD73" s="50">
        <v>1.9812259405275257</v>
      </c>
      <c r="AE73" s="50">
        <v>2.0494676220375632</v>
      </c>
      <c r="AF73" s="50">
        <v>2.1177093035476013</v>
      </c>
      <c r="AG73" s="50">
        <v>2.1855316766194037</v>
      </c>
      <c r="AH73" s="50">
        <v>2.253354049691207</v>
      </c>
      <c r="AI73" s="50">
        <v>2.3209676764562088</v>
      </c>
      <c r="AJ73" s="50">
        <v>2.3883725569144123</v>
      </c>
      <c r="AK73" s="50">
        <v>2.4557774373726153</v>
      </c>
      <c r="AL73" s="50">
        <v>2.5227666757549061</v>
      </c>
      <c r="AM73" s="50">
        <v>2.5897559141371969</v>
      </c>
      <c r="AN73" s="50">
        <v>2.6565382763062937</v>
      </c>
      <c r="AO73" s="50">
        <v>2.7231137622621997</v>
      </c>
      <c r="AP73" s="50">
        <v>2.7896892482181048</v>
      </c>
      <c r="AQ73" s="50">
        <v>2.8558529138652595</v>
      </c>
      <c r="AR73" s="50">
        <v>2.9220165795124142</v>
      </c>
      <c r="AS73" s="50">
        <v>2.9879753235175244</v>
      </c>
      <c r="AT73" s="50">
        <v>3.05372914588059</v>
      </c>
      <c r="AU73" s="50">
        <v>3.1194829682436565</v>
      </c>
      <c r="AV73" s="50">
        <v>3.1848289708893804</v>
      </c>
      <c r="AW73" s="50">
        <v>3.2501749735351049</v>
      </c>
      <c r="AX73" s="50">
        <v>3.315318101843586</v>
      </c>
      <c r="AY73" s="50">
        <v>3.3802583558148256</v>
      </c>
      <c r="AZ73" s="50">
        <v>3.4451986097860643</v>
      </c>
      <c r="BA73" s="50">
        <v>3.5095345022370386</v>
      </c>
      <c r="BB73" s="50">
        <v>3.5738703946880142</v>
      </c>
      <c r="BC73" s="50">
        <v>3.6382062871389875</v>
      </c>
      <c r="BD73" s="50">
        <v>3.702542179589964</v>
      </c>
      <c r="BE73" s="50">
        <v>3.7668780720409378</v>
      </c>
      <c r="BF73" s="50">
        <v>3.8304154875035987</v>
      </c>
      <c r="BG73" s="50">
        <v>4.6461781843619887</v>
      </c>
      <c r="BH73" s="50">
        <v>5.673717343859817</v>
      </c>
      <c r="BI73" s="50">
        <v>6.4881291205765743</v>
      </c>
    </row>
    <row r="74" spans="2:61" x14ac:dyDescent="0.25">
      <c r="B74" s="23">
        <v>40</v>
      </c>
      <c r="C74" s="50">
        <v>9.3421643662032913E-2</v>
      </c>
      <c r="D74" s="50">
        <v>0.18670035011828984</v>
      </c>
      <c r="E74" s="50">
        <v>0.27972639026912544</v>
      </c>
      <c r="F74" s="50">
        <v>0.37249976411453961</v>
      </c>
      <c r="G74" s="50">
        <v>0.46527313795995384</v>
      </c>
      <c r="H74" s="50">
        <v>0.55748680858371313</v>
      </c>
      <c r="I74" s="50">
        <v>0.64970047920747254</v>
      </c>
      <c r="J74" s="50">
        <v>0.7416356148489659</v>
      </c>
      <c r="K74" s="50">
        <v>0.83329221550819288</v>
      </c>
      <c r="L74" s="50">
        <v>0.92494881616741997</v>
      </c>
      <c r="M74" s="50">
        <v>1.0160508459075042</v>
      </c>
      <c r="N74" s="50">
        <v>1.1071528756475877</v>
      </c>
      <c r="O74" s="50">
        <v>1.1979788184494238</v>
      </c>
      <c r="P74" s="50">
        <v>1.2885286743130111</v>
      </c>
      <c r="Q74" s="50">
        <v>1.3790785301765991</v>
      </c>
      <c r="R74" s="50">
        <v>1.4690785352774922</v>
      </c>
      <c r="S74" s="50">
        <v>1.5590785403783849</v>
      </c>
      <c r="T74" s="50">
        <v>1.6488047568673072</v>
      </c>
      <c r="U74" s="50">
        <v>1.7382571847442583</v>
      </c>
      <c r="V74" s="50">
        <v>1.8277096126212096</v>
      </c>
      <c r="W74" s="50">
        <v>1.9166167082478962</v>
      </c>
      <c r="X74" s="50">
        <v>2.0055238038745826</v>
      </c>
      <c r="Y74" s="50">
        <v>2.0941593505843876</v>
      </c>
      <c r="Z74" s="50">
        <v>2.1825233483773103</v>
      </c>
      <c r="AA74" s="50">
        <v>2.2708873461702339</v>
      </c>
      <c r="AB74" s="50">
        <v>2.3587104853052647</v>
      </c>
      <c r="AC74" s="50">
        <v>2.4465336244402964</v>
      </c>
      <c r="AD74" s="50">
        <v>2.5340874626679724</v>
      </c>
      <c r="AE74" s="50">
        <v>2.6213719999882956</v>
      </c>
      <c r="AF74" s="50">
        <v>2.7086565373086189</v>
      </c>
      <c r="AG74" s="50">
        <v>2.7954047580814017</v>
      </c>
      <c r="AH74" s="50">
        <v>2.882152978854184</v>
      </c>
      <c r="AI74" s="50">
        <v>2.9686342026186394</v>
      </c>
      <c r="AJ74" s="50">
        <v>3.054848429374768</v>
      </c>
      <c r="AK74" s="50">
        <v>3.1410626561308974</v>
      </c>
      <c r="AL74" s="50">
        <v>3.2267452558009979</v>
      </c>
      <c r="AM74" s="50">
        <v>3.3124278554710993</v>
      </c>
      <c r="AN74" s="50">
        <v>3.397845850076501</v>
      </c>
      <c r="AO74" s="50">
        <v>3.4829992396172047</v>
      </c>
      <c r="AP74" s="50">
        <v>3.5681526291579084</v>
      </c>
      <c r="AQ74" s="50">
        <v>3.6527792798446885</v>
      </c>
      <c r="AR74" s="50">
        <v>3.7374059305314686</v>
      </c>
      <c r="AS74" s="50">
        <v>3.821770476148195</v>
      </c>
      <c r="AT74" s="50">
        <v>3.905872916694868</v>
      </c>
      <c r="AU74" s="50">
        <v>3.9899753572415406</v>
      </c>
      <c r="AV74" s="50">
        <v>4.0735561758915866</v>
      </c>
      <c r="AW74" s="50">
        <v>4.1571369945416317</v>
      </c>
      <c r="AX74" s="50">
        <v>4.2404583267272686</v>
      </c>
      <c r="AY74" s="50">
        <v>4.3235201724484966</v>
      </c>
      <c r="AZ74" s="50">
        <v>4.4065820181697246</v>
      </c>
      <c r="BA74" s="50">
        <v>4.4888708551592895</v>
      </c>
      <c r="BB74" s="50">
        <v>4.5711596921488571</v>
      </c>
      <c r="BC74" s="50">
        <v>4.6534485291384229</v>
      </c>
      <c r="BD74" s="50">
        <v>4.7357373661279905</v>
      </c>
      <c r="BE74" s="50">
        <v>4.8180262031175562</v>
      </c>
      <c r="BF74" s="50">
        <v>4.899293747944566</v>
      </c>
      <c r="BG74" s="50">
        <v>5.9426951997096467</v>
      </c>
      <c r="BH74" s="50">
        <v>7.2569693812754936</v>
      </c>
      <c r="BI74" s="50">
        <v>8.2986429383446936</v>
      </c>
    </row>
    <row r="75" spans="2:61" x14ac:dyDescent="0.25">
      <c r="B75" s="23">
        <f t="shared" ref="B75:B78" si="36">B74+2</f>
        <v>42</v>
      </c>
      <c r="C75" s="50">
        <v>0.10328869709039425</v>
      </c>
      <c r="D75" s="50">
        <v>0.20641936016242171</v>
      </c>
      <c r="E75" s="50">
        <v>0.30927067069404618</v>
      </c>
      <c r="F75" s="50">
        <v>0.4118426286852675</v>
      </c>
      <c r="G75" s="50">
        <v>0.51441458667648887</v>
      </c>
      <c r="H75" s="50">
        <v>0.61636772643399174</v>
      </c>
      <c r="I75" s="50">
        <v>0.7183208661914946</v>
      </c>
      <c r="J75" s="50">
        <v>0.81996605252102717</v>
      </c>
      <c r="K75" s="50">
        <v>0.92130328542258888</v>
      </c>
      <c r="L75" s="50">
        <v>1.0226405183241505</v>
      </c>
      <c r="M75" s="50">
        <v>1.1233646073605739</v>
      </c>
      <c r="N75" s="50">
        <v>1.224088696396997</v>
      </c>
      <c r="O75" s="50">
        <v>1.3245075386081935</v>
      </c>
      <c r="P75" s="50">
        <v>1.4246211339941626</v>
      </c>
      <c r="Q75" s="50">
        <v>1.5247347293801321</v>
      </c>
      <c r="R75" s="50">
        <v>1.6242403995932331</v>
      </c>
      <c r="S75" s="50">
        <v>1.7237460698063338</v>
      </c>
      <c r="T75" s="50">
        <v>1.8229490342662482</v>
      </c>
      <c r="U75" s="50">
        <v>1.9218492929729751</v>
      </c>
      <c r="V75" s="50">
        <v>2.0207495516797027</v>
      </c>
      <c r="W75" s="50">
        <v>2.1190468809644756</v>
      </c>
      <c r="X75" s="50">
        <v>2.2173442102492484</v>
      </c>
      <c r="Y75" s="50">
        <v>2.3153413100291487</v>
      </c>
      <c r="Z75" s="50">
        <v>2.4130381803041758</v>
      </c>
      <c r="AA75" s="50">
        <v>2.5107350505792039</v>
      </c>
      <c r="AB75" s="50">
        <v>2.6078339375187443</v>
      </c>
      <c r="AC75" s="50">
        <v>2.7049328244582846</v>
      </c>
      <c r="AD75" s="50">
        <v>2.8017339673338637</v>
      </c>
      <c r="AE75" s="50">
        <v>2.8982373661454823</v>
      </c>
      <c r="AF75" s="50">
        <v>2.9947407649571005</v>
      </c>
      <c r="AG75" s="50">
        <v>3.0906512022744441</v>
      </c>
      <c r="AH75" s="50">
        <v>3.1865616395917877</v>
      </c>
      <c r="AI75" s="50">
        <v>3.2821768800785449</v>
      </c>
      <c r="AJ75" s="50">
        <v>3.3774969237347179</v>
      </c>
      <c r="AK75" s="50">
        <v>3.4728169673908904</v>
      </c>
      <c r="AL75" s="50">
        <v>3.5675492343081689</v>
      </c>
      <c r="AM75" s="50">
        <v>3.6622815012254475</v>
      </c>
      <c r="AN75" s="50">
        <v>3.7567212158892542</v>
      </c>
      <c r="AO75" s="50">
        <v>3.8508683782995918</v>
      </c>
      <c r="AP75" s="50">
        <v>3.9450155407099294</v>
      </c>
      <c r="AQ75" s="50">
        <v>4.0385803309011958</v>
      </c>
      <c r="AR75" s="50">
        <v>4.1321451210924636</v>
      </c>
      <c r="AS75" s="50">
        <v>4.2254201230705775</v>
      </c>
      <c r="AT75" s="50">
        <v>4.3184053368355393</v>
      </c>
      <c r="AU75" s="50">
        <v>4.4113905506005002</v>
      </c>
      <c r="AV75" s="50">
        <v>4.5037990495490181</v>
      </c>
      <c r="AW75" s="50">
        <v>4.596207548497536</v>
      </c>
      <c r="AX75" s="50">
        <v>4.6883291544117327</v>
      </c>
      <c r="AY75" s="50">
        <v>4.7801638672916109</v>
      </c>
      <c r="AZ75" s="50">
        <v>4.8719985801714873</v>
      </c>
      <c r="BA75" s="50">
        <v>4.9629786403006397</v>
      </c>
      <c r="BB75" s="50">
        <v>5.0539587004297957</v>
      </c>
      <c r="BC75" s="50">
        <v>5.1449387605589481</v>
      </c>
      <c r="BD75" s="50">
        <v>5.2359188206881031</v>
      </c>
      <c r="BE75" s="50">
        <v>5.3268988808172573</v>
      </c>
      <c r="BF75" s="50">
        <v>5.416749781442423</v>
      </c>
      <c r="BG75" s="50">
        <v>6.5703537244957184</v>
      </c>
      <c r="BH75" s="50">
        <v>8.0234395674784835</v>
      </c>
      <c r="BI75" s="50">
        <v>9.1751331181981488</v>
      </c>
    </row>
    <row r="76" spans="2:61" x14ac:dyDescent="0.25">
      <c r="B76" s="23">
        <f t="shared" si="36"/>
        <v>44</v>
      </c>
      <c r="C76" s="50">
        <v>0.11365099677881517</v>
      </c>
      <c r="D76" s="50">
        <v>0.2271281049888102</v>
      </c>
      <c r="E76" s="50">
        <v>0.34029783499030947</v>
      </c>
      <c r="F76" s="50">
        <v>0.45316018678331316</v>
      </c>
      <c r="G76" s="50">
        <v>0.56602253857631668</v>
      </c>
      <c r="H76" s="50">
        <v>0.67820399002815857</v>
      </c>
      <c r="I76" s="50">
        <v>0.79038544148000023</v>
      </c>
      <c r="J76" s="50">
        <v>0.90222804449018079</v>
      </c>
      <c r="K76" s="50">
        <v>1.0137317990587</v>
      </c>
      <c r="L76" s="50">
        <v>1.1252355536272189</v>
      </c>
      <c r="M76" s="50">
        <v>1.2360646514965565</v>
      </c>
      <c r="N76" s="50">
        <v>1.3468937493658935</v>
      </c>
      <c r="O76" s="50">
        <v>1.4573869769325949</v>
      </c>
      <c r="P76" s="50">
        <v>1.5675443341966604</v>
      </c>
      <c r="Q76" s="50">
        <v>1.6777016914607259</v>
      </c>
      <c r="R76" s="50">
        <v>1.7871901342761667</v>
      </c>
      <c r="S76" s="50">
        <v>1.8966785770916068</v>
      </c>
      <c r="T76" s="50">
        <v>2.0058339456060885</v>
      </c>
      <c r="U76" s="50">
        <v>2.1146562398196105</v>
      </c>
      <c r="V76" s="50">
        <v>2.2234785340331329</v>
      </c>
      <c r="W76" s="50">
        <v>2.3316374107409383</v>
      </c>
      <c r="X76" s="50">
        <v>2.4397962874487442</v>
      </c>
      <c r="Y76" s="50">
        <v>2.5476248145301881</v>
      </c>
      <c r="Z76" s="50">
        <v>2.6551229919852712</v>
      </c>
      <c r="AA76" s="50">
        <v>2.7626211694403535</v>
      </c>
      <c r="AB76" s="50">
        <v>2.8694613716856643</v>
      </c>
      <c r="AC76" s="50">
        <v>2.9763015739309733</v>
      </c>
      <c r="AD76" s="50">
        <v>3.0828141613393507</v>
      </c>
      <c r="AE76" s="50">
        <v>3.188999133910797</v>
      </c>
      <c r="AF76" s="50">
        <v>3.2951841064822438</v>
      </c>
      <c r="AG76" s="50">
        <v>3.4007166294945983</v>
      </c>
      <c r="AH76" s="50">
        <v>3.5062491525069532</v>
      </c>
      <c r="AI76" s="50">
        <v>3.6114568634635154</v>
      </c>
      <c r="AJ76" s="50">
        <v>3.7163397623642864</v>
      </c>
      <c r="AK76" s="50">
        <v>3.8212226612650579</v>
      </c>
      <c r="AL76" s="50">
        <v>3.9254588155157317</v>
      </c>
      <c r="AM76" s="50">
        <v>4.029694969766406</v>
      </c>
      <c r="AN76" s="50">
        <v>4.133609221852045</v>
      </c>
      <c r="AO76" s="50">
        <v>4.2372015717726539</v>
      </c>
      <c r="AP76" s="50">
        <v>4.3407939216932627</v>
      </c>
      <c r="AQ76" s="50">
        <v>4.4437454736847828</v>
      </c>
      <c r="AR76" s="50">
        <v>4.5466970256763055</v>
      </c>
      <c r="AS76" s="50">
        <v>4.6493297168417405</v>
      </c>
      <c r="AT76" s="50">
        <v>4.7516435471810912</v>
      </c>
      <c r="AU76" s="50">
        <v>4.8539573775204392</v>
      </c>
      <c r="AV76" s="50">
        <v>4.9556366349046419</v>
      </c>
      <c r="AW76" s="50">
        <v>5.0573158922888446</v>
      </c>
      <c r="AX76" s="50">
        <v>5.1586794744807172</v>
      </c>
      <c r="AY76" s="50">
        <v>5.2597273814802641</v>
      </c>
      <c r="AZ76" s="50">
        <v>5.3607752884798066</v>
      </c>
      <c r="BA76" s="50">
        <v>5.4608828008402899</v>
      </c>
      <c r="BB76" s="50">
        <v>5.560990313200775</v>
      </c>
      <c r="BC76" s="50">
        <v>5.6610978255612574</v>
      </c>
      <c r="BD76" s="50">
        <v>5.7612053379217434</v>
      </c>
      <c r="BE76" s="50">
        <v>5.8613128502822249</v>
      </c>
      <c r="BF76" s="50">
        <v>5.9601779217293709</v>
      </c>
      <c r="BG76" s="50">
        <v>7.2295156296224015</v>
      </c>
      <c r="BH76" s="50">
        <v>8.8283803564728895</v>
      </c>
      <c r="BI76" s="50">
        <v>10.095616014489494</v>
      </c>
    </row>
    <row r="77" spans="2:61" x14ac:dyDescent="0.25">
      <c r="B77" s="23">
        <f t="shared" si="36"/>
        <v>46</v>
      </c>
      <c r="C77" s="50">
        <v>0.1242908895170402</v>
      </c>
      <c r="D77" s="50">
        <v>0.24839161119122755</v>
      </c>
      <c r="E77" s="50">
        <v>0.37215617821622665</v>
      </c>
      <c r="F77" s="50">
        <v>0.49558459059203741</v>
      </c>
      <c r="G77" s="50">
        <v>0.619013002967848</v>
      </c>
      <c r="H77" s="50">
        <v>0.74169676979303356</v>
      </c>
      <c r="I77" s="50">
        <v>0.86438053661821912</v>
      </c>
      <c r="J77" s="50">
        <v>0.98669373234927271</v>
      </c>
      <c r="K77" s="50">
        <v>1.1086363569861934</v>
      </c>
      <c r="L77" s="50">
        <v>1.2305789816231145</v>
      </c>
      <c r="M77" s="50">
        <v>1.3517837888749129</v>
      </c>
      <c r="N77" s="50">
        <v>1.4729885961267113</v>
      </c>
      <c r="O77" s="50">
        <v>1.5938260892338019</v>
      </c>
      <c r="P77" s="50">
        <v>1.7142962681961846</v>
      </c>
      <c r="Q77" s="50">
        <v>1.8347664471585681</v>
      </c>
      <c r="R77" s="50">
        <v>1.9545050885701438</v>
      </c>
      <c r="S77" s="50">
        <v>2.0742437299817196</v>
      </c>
      <c r="T77" s="50">
        <v>2.1936181150091474</v>
      </c>
      <c r="U77" s="50">
        <v>2.3126282436524259</v>
      </c>
      <c r="V77" s="50">
        <v>2.4316383722957058</v>
      </c>
      <c r="W77" s="50">
        <v>2.5499229749493879</v>
      </c>
      <c r="X77" s="50">
        <v>2.6682075776030696</v>
      </c>
      <c r="Y77" s="50">
        <v>2.7861309036285147</v>
      </c>
      <c r="Z77" s="50">
        <v>2.9036929530257209</v>
      </c>
      <c r="AA77" s="50">
        <v>3.0212550024229281</v>
      </c>
      <c r="AB77" s="50">
        <v>3.1380974776287882</v>
      </c>
      <c r="AC77" s="50">
        <v>3.2549399528346488</v>
      </c>
      <c r="AD77" s="50">
        <v>3.3714241422299547</v>
      </c>
      <c r="AE77" s="50">
        <v>3.4875500458147055</v>
      </c>
      <c r="AF77" s="50">
        <v>3.6036759493994572</v>
      </c>
      <c r="AG77" s="50">
        <v>3.7190883217494375</v>
      </c>
      <c r="AH77" s="50">
        <v>3.8345006940994186</v>
      </c>
      <c r="AI77" s="50">
        <v>3.949557845813553</v>
      </c>
      <c r="AJ77" s="50">
        <v>4.064259776891844</v>
      </c>
      <c r="AK77" s="50">
        <v>4.1789617079701342</v>
      </c>
      <c r="AL77" s="50">
        <v>4.2929563468105272</v>
      </c>
      <c r="AM77" s="50">
        <v>4.4069509856509193</v>
      </c>
      <c r="AN77" s="50">
        <v>4.5205935861672897</v>
      </c>
      <c r="AO77" s="50">
        <v>4.6338841483596394</v>
      </c>
      <c r="AP77" s="50">
        <v>4.747174710551989</v>
      </c>
      <c r="AQ77" s="50">
        <v>4.859764483953529</v>
      </c>
      <c r="AR77" s="50">
        <v>4.9723542573550708</v>
      </c>
      <c r="AS77" s="50">
        <v>5.084595318498649</v>
      </c>
      <c r="AT77" s="50">
        <v>5.1964876673842664</v>
      </c>
      <c r="AU77" s="50">
        <v>5.3083800162698829</v>
      </c>
      <c r="AV77" s="50">
        <v>5.4195783841144669</v>
      </c>
      <c r="AW77" s="50">
        <v>5.5307767519590554</v>
      </c>
      <c r="AX77" s="50">
        <v>5.6416298914152847</v>
      </c>
      <c r="AY77" s="50">
        <v>5.7521378024831602</v>
      </c>
      <c r="AZ77" s="50">
        <v>5.862645713551033</v>
      </c>
      <c r="BA77" s="50">
        <v>5.9721251911735447</v>
      </c>
      <c r="BB77" s="50">
        <v>6.0816046687960599</v>
      </c>
      <c r="BC77" s="50">
        <v>6.1910841464185724</v>
      </c>
      <c r="BD77" s="50">
        <v>6.3005636240410867</v>
      </c>
      <c r="BE77" s="50">
        <v>6.4100431016635993</v>
      </c>
      <c r="BF77" s="50">
        <v>6.5181638222961356</v>
      </c>
      <c r="BG77" s="50">
        <v>7.9063356578550277</v>
      </c>
      <c r="BH77" s="50">
        <v>9.654884502564407</v>
      </c>
      <c r="BI77" s="50">
        <v>11.040757496438182</v>
      </c>
    </row>
    <row r="78" spans="2:61" x14ac:dyDescent="0.25">
      <c r="B78" s="23">
        <f t="shared" si="36"/>
        <v>48</v>
      </c>
      <c r="C78" s="50">
        <v>0.13563397101459854</v>
      </c>
      <c r="D78" s="50">
        <v>0.27106041901777095</v>
      </c>
      <c r="E78" s="50">
        <v>0.40612003410083469</v>
      </c>
      <c r="F78" s="50">
        <v>0.54081281626378985</v>
      </c>
      <c r="G78" s="50">
        <v>0.67550559842674518</v>
      </c>
      <c r="H78" s="50">
        <v>0.80938577691921321</v>
      </c>
      <c r="I78" s="50">
        <v>0.94326595541168134</v>
      </c>
      <c r="J78" s="50">
        <v>1.0767417436126676</v>
      </c>
      <c r="K78" s="50">
        <v>1.2098131415221711</v>
      </c>
      <c r="L78" s="50">
        <v>1.3428845394316746</v>
      </c>
      <c r="M78" s="50">
        <v>1.4751507849907797</v>
      </c>
      <c r="N78" s="50">
        <v>1.6074170305498843</v>
      </c>
      <c r="O78" s="50">
        <v>1.7392824400038642</v>
      </c>
      <c r="P78" s="50">
        <v>1.8707470133527191</v>
      </c>
      <c r="Q78" s="50">
        <v>2.002211586701574</v>
      </c>
      <c r="R78" s="50">
        <v>2.1328778606469267</v>
      </c>
      <c r="S78" s="50">
        <v>2.2635441345922782</v>
      </c>
      <c r="T78" s="50">
        <v>2.3938129092515492</v>
      </c>
      <c r="U78" s="50">
        <v>2.5236841846247389</v>
      </c>
      <c r="V78" s="50">
        <v>2.6535554599979285</v>
      </c>
      <c r="W78" s="50">
        <v>2.7826349961581651</v>
      </c>
      <c r="X78" s="50">
        <v>2.9117145323184026</v>
      </c>
      <c r="Y78" s="50">
        <v>3.0403998208880632</v>
      </c>
      <c r="Z78" s="50">
        <v>3.1686908618671481</v>
      </c>
      <c r="AA78" s="50">
        <v>3.2969819028462335</v>
      </c>
      <c r="AB78" s="50">
        <v>3.4244876995858484</v>
      </c>
      <c r="AC78" s="50">
        <v>3.5519934963254629</v>
      </c>
      <c r="AD78" s="50">
        <v>3.6791083092413026</v>
      </c>
      <c r="AE78" s="50">
        <v>3.8058321383333684</v>
      </c>
      <c r="AF78" s="50">
        <v>3.9325559674254347</v>
      </c>
      <c r="AG78" s="50">
        <v>4.058501146729161</v>
      </c>
      <c r="AH78" s="50">
        <v>4.184446326032889</v>
      </c>
      <c r="AI78" s="50">
        <v>4.3100038664226661</v>
      </c>
      <c r="AJ78" s="50">
        <v>4.4351737678984975</v>
      </c>
      <c r="AK78" s="50">
        <v>4.5603436693743271</v>
      </c>
      <c r="AL78" s="50">
        <v>4.6847417294443527</v>
      </c>
      <c r="AM78" s="50">
        <v>4.8091397895143748</v>
      </c>
      <c r="AN78" s="50">
        <v>4.9331536834076015</v>
      </c>
      <c r="AO78" s="50">
        <v>5.0567834111240337</v>
      </c>
      <c r="AP78" s="50">
        <v>5.1804131388404642</v>
      </c>
      <c r="AQ78" s="50">
        <v>5.3032781221181891</v>
      </c>
      <c r="AR78" s="50">
        <v>5.4261431053959157</v>
      </c>
      <c r="AS78" s="50">
        <v>5.5486275521075852</v>
      </c>
      <c r="AT78" s="50">
        <v>5.6707314622531984</v>
      </c>
      <c r="AU78" s="50">
        <v>5.7928353723988124</v>
      </c>
      <c r="AV78" s="50">
        <v>5.9141819671468978</v>
      </c>
      <c r="AW78" s="50">
        <v>6.0355285618949832</v>
      </c>
      <c r="AX78" s="50">
        <v>6.1564984218928247</v>
      </c>
      <c r="AY78" s="50">
        <v>6.2770915471404241</v>
      </c>
      <c r="AZ78" s="50">
        <v>6.3976846723880207</v>
      </c>
      <c r="BA78" s="50">
        <v>6.5171555069137437</v>
      </c>
      <c r="BB78" s="50">
        <v>6.6366263414394684</v>
      </c>
      <c r="BC78" s="50">
        <v>6.756097175965194</v>
      </c>
      <c r="BD78" s="50">
        <v>6.8755680104909196</v>
      </c>
      <c r="BE78" s="50">
        <v>6.9950388450166416</v>
      </c>
      <c r="BF78" s="50">
        <v>7.1130269191653932</v>
      </c>
      <c r="BG78" s="50">
        <v>8.6278866103229124</v>
      </c>
      <c r="BH78" s="50">
        <v>10.536012171596708</v>
      </c>
      <c r="BI78" s="50">
        <v>12.048363223322182</v>
      </c>
    </row>
  </sheetData>
  <mergeCells count="2">
    <mergeCell ref="B11:B12"/>
    <mergeCell ref="H11:H12"/>
  </mergeCells>
  <conditionalFormatting sqref="B19:B39">
    <cfRule type="cellIs" dxfId="2" priority="5" operator="equal">
      <formula>$D$12</formula>
    </cfRule>
  </conditionalFormatting>
  <conditionalFormatting sqref="B58:B78">
    <cfRule type="cellIs" dxfId="1" priority="2" operator="equal">
      <formula>$D$12</formula>
    </cfRule>
  </conditionalFormatting>
  <conditionalFormatting sqref="C57:BI57">
    <cfRule type="cellIs" dxfId="0" priority="1" operator="equal">
      <formula>$D$12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B8:AC84"/>
  <sheetViews>
    <sheetView topLeftCell="A31" workbookViewId="0">
      <selection activeCell="AG69" sqref="AG69"/>
    </sheetView>
  </sheetViews>
  <sheetFormatPr defaultRowHeight="15" x14ac:dyDescent="0.25"/>
  <cols>
    <col min="15" max="15" width="11.85546875" bestFit="1" customWidth="1"/>
  </cols>
  <sheetData>
    <row r="8" spans="2:15" ht="35.25" x14ac:dyDescent="0.25">
      <c r="B8" s="12" t="s">
        <v>46</v>
      </c>
    </row>
    <row r="10" spans="2:15" ht="38.25" x14ac:dyDescent="0.25">
      <c r="B10" s="13" t="s">
        <v>31</v>
      </c>
      <c r="C10" s="13" t="s">
        <v>32</v>
      </c>
      <c r="D10" s="13" t="s">
        <v>33</v>
      </c>
      <c r="E10" s="13" t="s">
        <v>34</v>
      </c>
      <c r="F10" s="13" t="s">
        <v>35</v>
      </c>
      <c r="G10" s="13" t="s">
        <v>36</v>
      </c>
      <c r="H10" s="13" t="s">
        <v>37</v>
      </c>
      <c r="I10" s="13" t="s">
        <v>38</v>
      </c>
      <c r="J10" s="13" t="s">
        <v>39</v>
      </c>
      <c r="K10" s="13" t="s">
        <v>40</v>
      </c>
      <c r="L10" s="13" t="s">
        <v>41</v>
      </c>
      <c r="M10" s="13" t="s">
        <v>42</v>
      </c>
      <c r="N10" s="13" t="s">
        <v>43</v>
      </c>
      <c r="O10" s="13" t="s">
        <v>44</v>
      </c>
    </row>
    <row r="11" spans="2:15" x14ac:dyDescent="0.25">
      <c r="B11" s="14">
        <v>10</v>
      </c>
      <c r="C11" s="14">
        <v>20</v>
      </c>
      <c r="D11" s="14">
        <v>1.6920999999999999</v>
      </c>
      <c r="E11" s="14">
        <v>0.59099999999999997</v>
      </c>
      <c r="F11" s="14">
        <v>2543</v>
      </c>
      <c r="G11" s="14">
        <v>3725</v>
      </c>
      <c r="H11" s="14">
        <v>40.314999999999998</v>
      </c>
      <c r="I11" s="14">
        <v>10.135999999999999</v>
      </c>
      <c r="J11" s="14">
        <v>14.304</v>
      </c>
      <c r="K11" s="14">
        <v>1299.4000000000001</v>
      </c>
      <c r="L11" s="14">
        <v>-2.8014000000000001E-2</v>
      </c>
      <c r="M11" s="15">
        <v>8.6540000000000005E-6</v>
      </c>
      <c r="N11" s="14">
        <v>0.17918000000000001</v>
      </c>
      <c r="O11" s="14" t="s">
        <v>45</v>
      </c>
    </row>
    <row r="12" spans="2:15" x14ac:dyDescent="0.25">
      <c r="B12" s="14">
        <v>10</v>
      </c>
      <c r="C12" s="14">
        <v>25</v>
      </c>
      <c r="D12" s="14">
        <v>2.1086999999999998</v>
      </c>
      <c r="E12" s="14">
        <v>0.47422999999999998</v>
      </c>
      <c r="F12" s="14">
        <v>2541.4</v>
      </c>
      <c r="G12" s="14">
        <v>3727</v>
      </c>
      <c r="H12" s="14">
        <v>39.389000000000003</v>
      </c>
      <c r="I12" s="14">
        <v>10.14</v>
      </c>
      <c r="J12" s="14">
        <v>14.319000000000001</v>
      </c>
      <c r="K12" s="14">
        <v>1303.8</v>
      </c>
      <c r="L12" s="14">
        <v>-2.8319E-2</v>
      </c>
      <c r="M12" s="15">
        <v>8.6665000000000008E-6</v>
      </c>
      <c r="N12" s="14">
        <v>0.17959</v>
      </c>
      <c r="O12" s="14" t="s">
        <v>45</v>
      </c>
    </row>
    <row r="13" spans="2:15" x14ac:dyDescent="0.25">
      <c r="B13" s="14">
        <v>10</v>
      </c>
      <c r="C13" s="14">
        <v>30</v>
      </c>
      <c r="D13" s="14">
        <v>2.5228000000000002</v>
      </c>
      <c r="E13" s="14">
        <v>0.39638000000000001</v>
      </c>
      <c r="F13" s="14">
        <v>2539.9</v>
      </c>
      <c r="G13" s="14">
        <v>3729</v>
      </c>
      <c r="H13" s="14">
        <v>38.631999999999998</v>
      </c>
      <c r="I13" s="14">
        <v>10.144</v>
      </c>
      <c r="J13" s="14">
        <v>14.333</v>
      </c>
      <c r="K13" s="14">
        <v>1308.0999999999999</v>
      </c>
      <c r="L13" s="14">
        <v>-2.8631E-2</v>
      </c>
      <c r="M13" s="15">
        <v>8.6789999999999994E-6</v>
      </c>
      <c r="N13" s="14">
        <v>0.18001</v>
      </c>
      <c r="O13" s="14" t="s">
        <v>45</v>
      </c>
    </row>
    <row r="14" spans="2:15" x14ac:dyDescent="0.25">
      <c r="B14" s="14">
        <v>10</v>
      </c>
      <c r="C14" s="14">
        <v>35</v>
      </c>
      <c r="D14" s="14">
        <v>2.9344000000000001</v>
      </c>
      <c r="E14" s="14">
        <v>0.34078000000000003</v>
      </c>
      <c r="F14" s="14">
        <v>2538.4</v>
      </c>
      <c r="G14" s="14">
        <v>3731.1</v>
      </c>
      <c r="H14" s="14">
        <v>37.991</v>
      </c>
      <c r="I14" s="14">
        <v>10.148999999999999</v>
      </c>
      <c r="J14" s="14">
        <v>14.348000000000001</v>
      </c>
      <c r="K14" s="14">
        <v>1312.5</v>
      </c>
      <c r="L14" s="14">
        <v>-2.8948999999999999E-2</v>
      </c>
      <c r="M14" s="15">
        <v>8.6915999999999999E-6</v>
      </c>
      <c r="N14" s="14">
        <v>0.18042</v>
      </c>
      <c r="O14" s="14" t="s">
        <v>45</v>
      </c>
    </row>
    <row r="15" spans="2:15" x14ac:dyDescent="0.25">
      <c r="B15" s="14">
        <v>10</v>
      </c>
      <c r="C15" s="14">
        <v>40</v>
      </c>
      <c r="D15" s="14">
        <v>3.3435000000000001</v>
      </c>
      <c r="E15" s="14">
        <v>0.29909000000000002</v>
      </c>
      <c r="F15" s="14">
        <v>2536.8000000000002</v>
      </c>
      <c r="G15" s="14">
        <v>3733.2</v>
      </c>
      <c r="H15" s="14">
        <v>37.435000000000002</v>
      </c>
      <c r="I15" s="14">
        <v>10.153</v>
      </c>
      <c r="J15" s="14">
        <v>14.362</v>
      </c>
      <c r="K15" s="14">
        <v>1316.9</v>
      </c>
      <c r="L15" s="14">
        <v>-2.9271999999999999E-2</v>
      </c>
      <c r="M15" s="15">
        <v>8.7041000000000002E-6</v>
      </c>
      <c r="N15" s="14">
        <v>0.18084</v>
      </c>
      <c r="O15" s="14" t="s">
        <v>45</v>
      </c>
    </row>
    <row r="16" spans="2:15" x14ac:dyDescent="0.25">
      <c r="B16" s="14">
        <v>10</v>
      </c>
      <c r="C16" s="14">
        <v>45</v>
      </c>
      <c r="D16" s="14">
        <v>3.7501000000000002</v>
      </c>
      <c r="E16" s="14">
        <v>0.26666000000000001</v>
      </c>
      <c r="F16" s="14">
        <v>2535.3000000000002</v>
      </c>
      <c r="G16" s="14">
        <v>3735.3</v>
      </c>
      <c r="H16" s="14">
        <v>36.944000000000003</v>
      </c>
      <c r="I16" s="14">
        <v>10.157</v>
      </c>
      <c r="J16" s="14">
        <v>14.375999999999999</v>
      </c>
      <c r="K16" s="14">
        <v>1321.3</v>
      </c>
      <c r="L16" s="14">
        <v>-2.9599E-2</v>
      </c>
      <c r="M16" s="15">
        <v>8.7166000000000005E-6</v>
      </c>
      <c r="N16" s="14">
        <v>0.18124999999999999</v>
      </c>
      <c r="O16" s="14" t="s">
        <v>45</v>
      </c>
    </row>
    <row r="17" spans="2:15" x14ac:dyDescent="0.25">
      <c r="B17" s="14">
        <v>10</v>
      </c>
      <c r="C17" s="14">
        <v>50</v>
      </c>
      <c r="D17" s="14">
        <v>4.1542000000000003</v>
      </c>
      <c r="E17" s="14">
        <v>0.24071999999999999</v>
      </c>
      <c r="F17" s="14">
        <v>2533.9</v>
      </c>
      <c r="G17" s="14">
        <v>3737.4</v>
      </c>
      <c r="H17" s="14">
        <v>36.505000000000003</v>
      </c>
      <c r="I17" s="14">
        <v>10.162000000000001</v>
      </c>
      <c r="J17" s="14">
        <v>14.388999999999999</v>
      </c>
      <c r="K17" s="14">
        <v>1325.7</v>
      </c>
      <c r="L17" s="14">
        <v>-2.9928E-2</v>
      </c>
      <c r="M17" s="15">
        <v>8.7291999999999994E-6</v>
      </c>
      <c r="N17" s="14">
        <v>0.18167</v>
      </c>
      <c r="O17" s="14" t="s">
        <v>45</v>
      </c>
    </row>
    <row r="18" spans="2:15" x14ac:dyDescent="0.25">
      <c r="B18" s="14">
        <v>10</v>
      </c>
      <c r="C18" s="14">
        <v>55</v>
      </c>
      <c r="D18" s="14">
        <v>4.5559000000000003</v>
      </c>
      <c r="E18" s="14">
        <v>0.2195</v>
      </c>
      <c r="F18" s="14">
        <v>2532.4</v>
      </c>
      <c r="G18" s="14">
        <v>3739.6</v>
      </c>
      <c r="H18" s="14">
        <v>36.106000000000002</v>
      </c>
      <c r="I18" s="14">
        <v>10.166</v>
      </c>
      <c r="J18" s="14">
        <v>14.403</v>
      </c>
      <c r="K18" s="14">
        <v>1330.1</v>
      </c>
      <c r="L18" s="14">
        <v>-3.0259999999999999E-2</v>
      </c>
      <c r="M18" s="15">
        <v>8.7416999999999997E-6</v>
      </c>
      <c r="N18" s="14">
        <v>0.18207999999999999</v>
      </c>
      <c r="O18" s="14" t="s">
        <v>45</v>
      </c>
    </row>
    <row r="19" spans="2:15" x14ac:dyDescent="0.25">
      <c r="B19" s="14">
        <v>10</v>
      </c>
      <c r="C19" s="14">
        <v>60</v>
      </c>
      <c r="D19" s="14">
        <v>4.9550999999999998</v>
      </c>
      <c r="E19" s="14">
        <v>0.20180999999999999</v>
      </c>
      <c r="F19" s="14">
        <v>2530.9</v>
      </c>
      <c r="G19" s="14">
        <v>3741.8</v>
      </c>
      <c r="H19" s="14">
        <v>35.743000000000002</v>
      </c>
      <c r="I19" s="14">
        <v>10.17</v>
      </c>
      <c r="J19" s="14">
        <v>14.416</v>
      </c>
      <c r="K19" s="14">
        <v>1334.5</v>
      </c>
      <c r="L19" s="14">
        <v>-3.0592999999999999E-2</v>
      </c>
      <c r="M19" s="15">
        <v>8.7543000000000002E-6</v>
      </c>
      <c r="N19" s="14">
        <v>0.1825</v>
      </c>
      <c r="O19" s="14" t="s">
        <v>45</v>
      </c>
    </row>
    <row r="20" spans="2:15" x14ac:dyDescent="0.25">
      <c r="B20" s="14">
        <v>10</v>
      </c>
      <c r="C20" s="14">
        <v>65</v>
      </c>
      <c r="D20" s="14">
        <v>5.3517999999999999</v>
      </c>
      <c r="E20" s="14">
        <v>0.18684999999999999</v>
      </c>
      <c r="F20" s="14">
        <v>2529.5</v>
      </c>
      <c r="G20" s="14">
        <v>3744</v>
      </c>
      <c r="H20" s="14">
        <v>35.408000000000001</v>
      </c>
      <c r="I20" s="14">
        <v>10.175000000000001</v>
      </c>
      <c r="J20" s="14">
        <v>14.429</v>
      </c>
      <c r="K20" s="14">
        <v>1338.9</v>
      </c>
      <c r="L20" s="14">
        <v>-3.0927E-2</v>
      </c>
      <c r="M20" s="15">
        <v>8.7669999999999992E-6</v>
      </c>
      <c r="N20" s="14">
        <v>0.18292</v>
      </c>
      <c r="O20" s="14" t="s">
        <v>45</v>
      </c>
    </row>
    <row r="21" spans="2:15" x14ac:dyDescent="0.25">
      <c r="B21" s="14">
        <v>10</v>
      </c>
      <c r="C21" s="14">
        <v>70</v>
      </c>
      <c r="D21" s="14">
        <v>5.7461000000000002</v>
      </c>
      <c r="E21" s="14">
        <v>0.17402999999999999</v>
      </c>
      <c r="F21" s="14">
        <v>2528</v>
      </c>
      <c r="G21" s="14">
        <v>3746.3</v>
      </c>
      <c r="H21" s="14">
        <v>35.097000000000001</v>
      </c>
      <c r="I21" s="14">
        <v>10.179</v>
      </c>
      <c r="J21" s="14">
        <v>14.441000000000001</v>
      </c>
      <c r="K21" s="14">
        <v>1343.4</v>
      </c>
      <c r="L21" s="14">
        <v>-3.1260999999999997E-2</v>
      </c>
      <c r="M21" s="15">
        <v>8.7797E-6</v>
      </c>
      <c r="N21" s="14">
        <v>0.18334</v>
      </c>
      <c r="O21" s="14" t="s">
        <v>45</v>
      </c>
    </row>
    <row r="22" spans="2:15" x14ac:dyDescent="0.25">
      <c r="B22" s="14">
        <v>10</v>
      </c>
      <c r="C22" s="14">
        <v>75</v>
      </c>
      <c r="D22" s="14">
        <v>6.1379999999999999</v>
      </c>
      <c r="E22" s="14">
        <v>0.16292000000000001</v>
      </c>
      <c r="F22" s="14">
        <v>2526.6</v>
      </c>
      <c r="G22" s="14">
        <v>3748.5</v>
      </c>
      <c r="H22" s="14">
        <v>34.808</v>
      </c>
      <c r="I22" s="14">
        <v>10.183</v>
      </c>
      <c r="J22" s="14">
        <v>14.454000000000001</v>
      </c>
      <c r="K22" s="14">
        <v>1347.8</v>
      </c>
      <c r="L22" s="14">
        <v>-3.1593999999999997E-2</v>
      </c>
      <c r="M22" s="15">
        <v>8.7924999999999993E-6</v>
      </c>
      <c r="N22" s="14">
        <v>0.18376000000000001</v>
      </c>
      <c r="O22" s="14" t="s">
        <v>45</v>
      </c>
    </row>
    <row r="23" spans="2:15" x14ac:dyDescent="0.25">
      <c r="B23" s="14">
        <v>10</v>
      </c>
      <c r="C23" s="14">
        <v>80</v>
      </c>
      <c r="D23" s="14">
        <v>6.5274000000000001</v>
      </c>
      <c r="E23" s="14">
        <v>0.1532</v>
      </c>
      <c r="F23" s="14">
        <v>2525.1999999999998</v>
      </c>
      <c r="G23" s="14">
        <v>3750.8</v>
      </c>
      <c r="H23" s="14">
        <v>34.536999999999999</v>
      </c>
      <c r="I23" s="14">
        <v>10.186999999999999</v>
      </c>
      <c r="J23" s="14">
        <v>14.465999999999999</v>
      </c>
      <c r="K23" s="14">
        <v>1352.3</v>
      </c>
      <c r="L23" s="14">
        <v>-3.1926999999999997E-2</v>
      </c>
      <c r="M23" s="15">
        <v>8.8053000000000002E-6</v>
      </c>
      <c r="N23" s="14">
        <v>0.18418000000000001</v>
      </c>
      <c r="O23" s="14" t="s">
        <v>45</v>
      </c>
    </row>
    <row r="24" spans="2:15" x14ac:dyDescent="0.25">
      <c r="B24" s="14">
        <v>10</v>
      </c>
      <c r="C24" s="14">
        <v>85</v>
      </c>
      <c r="D24" s="14">
        <v>6.9143999999999997</v>
      </c>
      <c r="E24" s="14">
        <v>0.14463000000000001</v>
      </c>
      <c r="F24" s="14">
        <v>2523.8000000000002</v>
      </c>
      <c r="G24" s="14">
        <v>3753.2</v>
      </c>
      <c r="H24" s="14">
        <v>34.283000000000001</v>
      </c>
      <c r="I24" s="14">
        <v>10.192</v>
      </c>
      <c r="J24" s="14">
        <v>14.478</v>
      </c>
      <c r="K24" s="14">
        <v>1356.8</v>
      </c>
      <c r="L24" s="14">
        <v>-3.2257000000000001E-2</v>
      </c>
      <c r="M24" s="15">
        <v>8.8181999999999997E-6</v>
      </c>
      <c r="N24" s="14">
        <v>0.18459999999999999</v>
      </c>
      <c r="O24" s="14" t="s">
        <v>45</v>
      </c>
    </row>
    <row r="25" spans="2:15" x14ac:dyDescent="0.25">
      <c r="B25" s="14">
        <v>10</v>
      </c>
      <c r="C25" s="14">
        <v>90</v>
      </c>
      <c r="D25" s="14">
        <v>7.2991000000000001</v>
      </c>
      <c r="E25" s="14">
        <v>0.13700000000000001</v>
      </c>
      <c r="F25" s="14">
        <v>2522.5</v>
      </c>
      <c r="G25" s="14">
        <v>3755.5</v>
      </c>
      <c r="H25" s="14">
        <v>34.042000000000002</v>
      </c>
      <c r="I25" s="14">
        <v>10.196</v>
      </c>
      <c r="J25" s="14">
        <v>14.489000000000001</v>
      </c>
      <c r="K25" s="14">
        <v>1361.3</v>
      </c>
      <c r="L25" s="14">
        <v>-3.2585999999999997E-2</v>
      </c>
      <c r="M25" s="15">
        <v>8.8311999999999994E-6</v>
      </c>
      <c r="N25" s="14">
        <v>0.18503</v>
      </c>
      <c r="O25" s="14" t="s">
        <v>45</v>
      </c>
    </row>
    <row r="26" spans="2:15" x14ac:dyDescent="0.25">
      <c r="B26" s="14">
        <v>10</v>
      </c>
      <c r="C26" s="14">
        <v>95</v>
      </c>
      <c r="D26" s="14">
        <v>7.6813000000000002</v>
      </c>
      <c r="E26" s="14">
        <v>0.13019</v>
      </c>
      <c r="F26" s="14">
        <v>2521.1</v>
      </c>
      <c r="G26" s="14">
        <v>3757.9</v>
      </c>
      <c r="H26" s="14">
        <v>33.814999999999998</v>
      </c>
      <c r="I26" s="14">
        <v>10.199999999999999</v>
      </c>
      <c r="J26" s="14">
        <v>14.500999999999999</v>
      </c>
      <c r="K26" s="14">
        <v>1365.8</v>
      </c>
      <c r="L26" s="14">
        <v>-3.2911999999999997E-2</v>
      </c>
      <c r="M26" s="15">
        <v>8.8442999999999993E-6</v>
      </c>
      <c r="N26" s="14">
        <v>0.18545</v>
      </c>
      <c r="O26" s="14" t="s">
        <v>45</v>
      </c>
    </row>
    <row r="27" spans="2:15" x14ac:dyDescent="0.25">
      <c r="B27" s="14">
        <v>10</v>
      </c>
      <c r="C27" s="14">
        <v>100</v>
      </c>
      <c r="D27" s="14">
        <v>8.0611999999999995</v>
      </c>
      <c r="E27" s="14">
        <v>0.12404999999999999</v>
      </c>
      <c r="F27" s="14">
        <v>2519.8000000000002</v>
      </c>
      <c r="G27" s="14">
        <v>3760.3</v>
      </c>
      <c r="H27" s="14">
        <v>33.598999999999997</v>
      </c>
      <c r="I27" s="14">
        <v>10.205</v>
      </c>
      <c r="J27" s="14">
        <v>14.512</v>
      </c>
      <c r="K27" s="14">
        <v>1370.3</v>
      </c>
      <c r="L27" s="14">
        <v>-3.3236000000000002E-2</v>
      </c>
      <c r="M27" s="15">
        <v>8.8573999999999993E-6</v>
      </c>
      <c r="N27" s="14">
        <v>0.18587999999999999</v>
      </c>
      <c r="O27" s="14" t="s">
        <v>45</v>
      </c>
    </row>
    <row r="31" spans="2:15" x14ac:dyDescent="0.25">
      <c r="B31" t="s">
        <v>51</v>
      </c>
      <c r="E31" t="s">
        <v>52</v>
      </c>
      <c r="I31" t="s">
        <v>59</v>
      </c>
      <c r="J31">
        <v>2.0158800000000001</v>
      </c>
    </row>
    <row r="32" spans="2:15" x14ac:dyDescent="0.25">
      <c r="B32" s="8">
        <v>3</v>
      </c>
      <c r="C32" t="s">
        <v>48</v>
      </c>
      <c r="E32">
        <v>3.54</v>
      </c>
      <c r="F32" t="s">
        <v>48</v>
      </c>
    </row>
    <row r="33" spans="2:29" x14ac:dyDescent="0.25">
      <c r="B33">
        <v>2.359</v>
      </c>
      <c r="C33" t="s">
        <v>49</v>
      </c>
      <c r="E33">
        <v>2.79</v>
      </c>
      <c r="F33" t="s">
        <v>49</v>
      </c>
    </row>
    <row r="34" spans="2:29" x14ac:dyDescent="0.25">
      <c r="B34">
        <v>33.33</v>
      </c>
      <c r="C34" t="s">
        <v>50</v>
      </c>
      <c r="E34">
        <v>39.409999999999997</v>
      </c>
      <c r="F34" t="s">
        <v>50</v>
      </c>
    </row>
    <row r="35" spans="2:29" x14ac:dyDescent="0.25">
      <c r="B35">
        <v>10.8</v>
      </c>
      <c r="C35" t="s">
        <v>54</v>
      </c>
      <c r="E35">
        <v>12.75</v>
      </c>
      <c r="F35" t="s">
        <v>54</v>
      </c>
    </row>
    <row r="36" spans="2:29" x14ac:dyDescent="0.25">
      <c r="B36">
        <v>8.4949999999999992</v>
      </c>
      <c r="C36" t="s">
        <v>55</v>
      </c>
      <c r="E36">
        <v>10.039999999999999</v>
      </c>
      <c r="F36" t="s">
        <v>55</v>
      </c>
    </row>
    <row r="37" spans="2:29" x14ac:dyDescent="0.25">
      <c r="B37">
        <v>120</v>
      </c>
      <c r="C37" t="s">
        <v>53</v>
      </c>
      <c r="E37">
        <v>141.86000000000001</v>
      </c>
      <c r="F37" t="s">
        <v>53</v>
      </c>
    </row>
    <row r="41" spans="2:29" x14ac:dyDescent="0.25">
      <c r="B41" t="s">
        <v>80</v>
      </c>
      <c r="D41" t="s">
        <v>81</v>
      </c>
      <c r="E41" t="s">
        <v>82</v>
      </c>
    </row>
    <row r="42" spans="2:29" x14ac:dyDescent="0.25">
      <c r="C42" t="s">
        <v>83</v>
      </c>
      <c r="D42" t="s">
        <v>84</v>
      </c>
      <c r="E42">
        <v>1</v>
      </c>
      <c r="F42">
        <v>2</v>
      </c>
      <c r="G42">
        <v>3</v>
      </c>
      <c r="H42">
        <v>4</v>
      </c>
      <c r="I42">
        <v>5</v>
      </c>
      <c r="J42">
        <v>6</v>
      </c>
      <c r="K42">
        <v>7</v>
      </c>
      <c r="L42">
        <v>8</v>
      </c>
      <c r="M42">
        <v>9</v>
      </c>
      <c r="N42">
        <v>10</v>
      </c>
      <c r="O42">
        <v>11</v>
      </c>
      <c r="P42">
        <v>12</v>
      </c>
      <c r="Q42">
        <v>13</v>
      </c>
      <c r="R42">
        <v>14</v>
      </c>
      <c r="S42">
        <v>15</v>
      </c>
    </row>
    <row r="43" spans="2:29" x14ac:dyDescent="0.25">
      <c r="E43">
        <v>1</v>
      </c>
      <c r="F43">
        <v>2</v>
      </c>
      <c r="G43">
        <v>3</v>
      </c>
      <c r="H43">
        <v>5</v>
      </c>
      <c r="I43">
        <v>7</v>
      </c>
      <c r="J43">
        <v>10</v>
      </c>
      <c r="K43">
        <v>20</v>
      </c>
      <c r="L43">
        <v>30</v>
      </c>
      <c r="M43">
        <v>40</v>
      </c>
      <c r="N43">
        <v>50</v>
      </c>
      <c r="O43">
        <v>60</v>
      </c>
      <c r="P43">
        <v>70</v>
      </c>
      <c r="Q43">
        <v>80</v>
      </c>
      <c r="R43">
        <v>90</v>
      </c>
      <c r="S43">
        <v>100</v>
      </c>
      <c r="T43">
        <v>110</v>
      </c>
      <c r="U43">
        <v>120</v>
      </c>
      <c r="V43">
        <v>130</v>
      </c>
      <c r="W43">
        <v>140</v>
      </c>
      <c r="X43">
        <v>150</v>
      </c>
      <c r="Y43">
        <v>160</v>
      </c>
      <c r="Z43">
        <v>170</v>
      </c>
      <c r="AA43">
        <v>180</v>
      </c>
      <c r="AB43">
        <v>190</v>
      </c>
      <c r="AC43">
        <v>200</v>
      </c>
    </row>
    <row r="44" spans="2:29" x14ac:dyDescent="0.25">
      <c r="B44">
        <v>1</v>
      </c>
      <c r="C44">
        <v>1.01325</v>
      </c>
      <c r="D44">
        <v>0.101325</v>
      </c>
      <c r="E44">
        <v>8.955462160863098E-2</v>
      </c>
      <c r="F44">
        <v>8.9229249435944458E-2</v>
      </c>
      <c r="G44">
        <v>8.8906233968891996E-2</v>
      </c>
      <c r="H44">
        <v>8.8267171424292273E-2</v>
      </c>
      <c r="I44">
        <v>8.7637234154767069E-2</v>
      </c>
      <c r="J44">
        <v>8.67090149416683E-2</v>
      </c>
      <c r="K44">
        <v>8.3752165648682458E-2</v>
      </c>
      <c r="L44">
        <v>8.0990393323169138E-2</v>
      </c>
      <c r="M44">
        <v>7.8405002878857238E-2</v>
      </c>
      <c r="N44">
        <v>7.5979614899279152E-2</v>
      </c>
      <c r="O44">
        <v>7.3699817755828095E-2</v>
      </c>
      <c r="P44">
        <v>7.1552880629980914E-2</v>
      </c>
      <c r="Q44">
        <v>6.952751534908326E-2</v>
      </c>
      <c r="R44">
        <v>6.7613677613305209E-2</v>
      </c>
      <c r="S44">
        <v>6.580240021475689E-2</v>
      </c>
      <c r="T44">
        <v>6.4085652396970436E-2</v>
      </c>
      <c r="U44">
        <v>6.2456220695373037E-2</v>
      </c>
      <c r="V44">
        <v>6.0907607525170868E-2</v>
      </c>
      <c r="W44">
        <v>5.9433944506885543E-2</v>
      </c>
      <c r="X44">
        <v>5.8029918089440399E-2</v>
      </c>
      <c r="Y44">
        <v>5.6690705481835857E-2</v>
      </c>
      <c r="Z44">
        <v>5.5411919263860757E-2</v>
      </c>
      <c r="AA44">
        <v>5.4189559334229073E-2</v>
      </c>
      <c r="AB44">
        <v>5.3019971086465584E-2</v>
      </c>
      <c r="AC44">
        <v>5.1899808890634266E-2</v>
      </c>
    </row>
    <row r="45" spans="2:29" x14ac:dyDescent="0.25">
      <c r="B45">
        <v>2</v>
      </c>
      <c r="C45">
        <v>5</v>
      </c>
      <c r="D45">
        <v>0.5</v>
      </c>
      <c r="E45">
        <v>0.44083674409682783</v>
      </c>
      <c r="F45">
        <v>0.43923710768138746</v>
      </c>
      <c r="G45">
        <v>0.43764906140616788</v>
      </c>
      <c r="H45">
        <v>0.43450723797535939</v>
      </c>
      <c r="I45">
        <v>0.43141028918083313</v>
      </c>
      <c r="J45">
        <v>0.42684692084454329</v>
      </c>
      <c r="K45">
        <v>0.41231036733648002</v>
      </c>
      <c r="L45">
        <v>0.39873287026576004</v>
      </c>
      <c r="M45">
        <v>0.3860223963207487</v>
      </c>
      <c r="N45">
        <v>0.37409834132650449</v>
      </c>
      <c r="O45">
        <v>0.36288980683757716</v>
      </c>
      <c r="P45">
        <v>0.3523341798978728</v>
      </c>
      <c r="Q45">
        <v>0.34237595543585758</v>
      </c>
      <c r="R45">
        <v>0.33296575421081598</v>
      </c>
      <c r="S45">
        <v>0.32405949939918471</v>
      </c>
      <c r="T45">
        <v>0.31561772267253829</v>
      </c>
      <c r="U45">
        <v>0.30760497658984048</v>
      </c>
      <c r="V45">
        <v>0.29998933475442247</v>
      </c>
      <c r="W45">
        <v>0.29274196479875569</v>
      </c>
      <c r="X45">
        <v>0.2858367620991995</v>
      </c>
      <c r="Y45">
        <v>0.27925003436847778</v>
      </c>
      <c r="Z45">
        <v>0.27296022906051215</v>
      </c>
      <c r="AA45">
        <v>0.26694769695229242</v>
      </c>
      <c r="AB45">
        <v>0.26119448641824272</v>
      </c>
      <c r="AC45">
        <v>0.2556841638433564</v>
      </c>
    </row>
    <row r="46" spans="2:29" x14ac:dyDescent="0.25">
      <c r="B46">
        <v>3</v>
      </c>
      <c r="C46">
        <v>10</v>
      </c>
      <c r="D46">
        <v>1</v>
      </c>
      <c r="E46">
        <v>0.8789699560542158</v>
      </c>
      <c r="F46">
        <v>0.87578564302459339</v>
      </c>
      <c r="G46">
        <v>0.87262440950847775</v>
      </c>
      <c r="H46">
        <v>0.86637018040008518</v>
      </c>
      <c r="I46">
        <v>0.86020530353984526</v>
      </c>
      <c r="J46">
        <v>0.85112136272428807</v>
      </c>
      <c r="K46">
        <v>0.82218471528250714</v>
      </c>
      <c r="L46">
        <v>0.79515709225294384</v>
      </c>
      <c r="M46">
        <v>0.76985501349182017</v>
      </c>
      <c r="N46">
        <v>0.74611785375517947</v>
      </c>
      <c r="O46">
        <v>0.72380438122484325</v>
      </c>
      <c r="P46">
        <v>0.70278990836670485</v>
      </c>
      <c r="Q46">
        <v>0.68296393204168893</v>
      </c>
      <c r="R46">
        <v>0.66422816734163781</v>
      </c>
      <c r="S46">
        <v>0.64649490040912527</v>
      </c>
      <c r="T46">
        <v>0.62968560132223639</v>
      </c>
      <c r="U46">
        <v>0.61372975026883581</v>
      </c>
      <c r="V46">
        <v>0.59856383962785853</v>
      </c>
      <c r="W46">
        <v>0.58413052189421866</v>
      </c>
      <c r="X46">
        <v>0.57037787912652538</v>
      </c>
      <c r="Y46">
        <v>0.55725879413200829</v>
      </c>
      <c r="Z46">
        <v>0.54473040720700872</v>
      </c>
      <c r="AA46">
        <v>0.53275364513207568</v>
      </c>
      <c r="AB46">
        <v>0.52129281143618555</v>
      </c>
      <c r="AC46">
        <v>0.51031522881560853</v>
      </c>
    </row>
    <row r="47" spans="2:29" x14ac:dyDescent="0.25">
      <c r="B47">
        <v>4</v>
      </c>
      <c r="C47">
        <v>15</v>
      </c>
      <c r="D47">
        <v>1.5</v>
      </c>
      <c r="E47">
        <v>1.3144119774075378</v>
      </c>
      <c r="F47">
        <v>1.3096580157156983</v>
      </c>
      <c r="G47">
        <v>1.304938518259956</v>
      </c>
      <c r="H47">
        <v>1.2956014185797315</v>
      </c>
      <c r="I47">
        <v>1.2863977375756808</v>
      </c>
      <c r="J47">
        <v>1.2728361502318466</v>
      </c>
      <c r="K47">
        <v>1.2296361184702969</v>
      </c>
      <c r="L47">
        <v>1.1892857681334716</v>
      </c>
      <c r="M47">
        <v>1.1515108204468338</v>
      </c>
      <c r="N47">
        <v>1.1160712583987922</v>
      </c>
      <c r="O47">
        <v>1.0827561164976209</v>
      </c>
      <c r="P47">
        <v>1.0513791969733237</v>
      </c>
      <c r="Q47">
        <v>1.0217755250734248</v>
      </c>
      <c r="R47">
        <v>0.99379839832950123</v>
      </c>
      <c r="S47">
        <v>0.96731691645214213</v>
      </c>
      <c r="T47">
        <v>0.94221390264893279</v>
      </c>
      <c r="U47">
        <v>0.91838414564806958</v>
      </c>
      <c r="V47">
        <v>0.89573290598485145</v>
      </c>
      <c r="W47">
        <v>0.87417464121278088</v>
      </c>
      <c r="X47">
        <v>0.85363191340061284</v>
      </c>
      <c r="Y47">
        <v>0.83403444913786773</v>
      </c>
      <c r="Z47">
        <v>0.81531832771679591</v>
      </c>
      <c r="AA47">
        <v>0.79742527750648207</v>
      </c>
      <c r="AB47">
        <v>0.78030206402582547</v>
      </c>
      <c r="AC47">
        <v>0.76389995604030347</v>
      </c>
    </row>
    <row r="48" spans="2:29" x14ac:dyDescent="0.25">
      <c r="B48">
        <v>5</v>
      </c>
      <c r="C48">
        <v>20</v>
      </c>
      <c r="D48">
        <v>2</v>
      </c>
      <c r="E48">
        <v>1.7471742676983435</v>
      </c>
      <c r="F48">
        <v>1.7408657653908675</v>
      </c>
      <c r="G48">
        <v>1.7346030032844095</v>
      </c>
      <c r="H48">
        <v>1.7222127082843992</v>
      </c>
      <c r="I48">
        <v>1.7099994722168594</v>
      </c>
      <c r="J48">
        <v>1.6920033258708993</v>
      </c>
      <c r="K48">
        <v>1.6346769630822384</v>
      </c>
      <c r="L48">
        <v>1.5811313906697442</v>
      </c>
      <c r="M48">
        <v>1.5310022440298945</v>
      </c>
      <c r="N48">
        <v>1.4839707920726222</v>
      </c>
      <c r="O48">
        <v>1.4397569716529179</v>
      </c>
      <c r="P48">
        <v>1.3981136663990539</v>
      </c>
      <c r="Q48">
        <v>1.3588219769033751</v>
      </c>
      <c r="R48">
        <v>1.3216872866244642</v>
      </c>
      <c r="S48">
        <v>1.2865359709416402</v>
      </c>
      <c r="T48">
        <v>1.2532126294656556</v>
      </c>
      <c r="U48">
        <v>1.2215777466830242</v>
      </c>
      <c r="V48">
        <v>1.1915057052621787</v>
      </c>
      <c r="W48">
        <v>1.162883091302779</v>
      </c>
      <c r="X48">
        <v>1.13560724250843</v>
      </c>
      <c r="Y48">
        <v>1.1095849994783118</v>
      </c>
      <c r="Z48">
        <v>1.0847316276186778</v>
      </c>
      <c r="AA48">
        <v>1.0609698830020009</v>
      </c>
      <c r="AB48">
        <v>1.0382292001756592</v>
      </c>
      <c r="AC48">
        <v>1.0164449836921077</v>
      </c>
    </row>
    <row r="49" spans="2:29" x14ac:dyDescent="0.25">
      <c r="B49">
        <v>6</v>
      </c>
      <c r="C49">
        <v>25</v>
      </c>
      <c r="D49">
        <v>2.5</v>
      </c>
      <c r="E49">
        <v>2.177267607486904</v>
      </c>
      <c r="F49">
        <v>2.1694197604027106</v>
      </c>
      <c r="G49">
        <v>2.161628816500575</v>
      </c>
      <c r="H49">
        <v>2.1462151563889096</v>
      </c>
      <c r="I49">
        <v>2.1310217538601961</v>
      </c>
      <c r="J49">
        <v>2.1086343183633276</v>
      </c>
      <c r="K49">
        <v>2.0373190844679092</v>
      </c>
      <c r="L49">
        <v>1.9707059565155229</v>
      </c>
      <c r="M49">
        <v>1.9083412628798795</v>
      </c>
      <c r="N49">
        <v>1.8498282855608654</v>
      </c>
      <c r="O49">
        <v>1.7948185369665353</v>
      </c>
      <c r="P49">
        <v>1.7430046017468572</v>
      </c>
      <c r="Q49">
        <v>1.6941142238717177</v>
      </c>
      <c r="R49">
        <v>1.6479053920667068</v>
      </c>
      <c r="S49">
        <v>1.6041622313753385</v>
      </c>
      <c r="T49">
        <v>1.5626915499706098</v>
      </c>
      <c r="U49">
        <v>1.5233199219071787</v>
      </c>
      <c r="V49">
        <v>1.4858912108041591</v>
      </c>
      <c r="W49">
        <v>1.450264458297603</v>
      </c>
      <c r="X49">
        <v>1.4163120758307179</v>
      </c>
      <c r="Y49">
        <v>1.3839182899389011</v>
      </c>
      <c r="Z49">
        <v>1.3529778003647164</v>
      </c>
      <c r="AA49">
        <v>1.3233946176512366</v>
      </c>
      <c r="AB49">
        <v>1.2950810527238736</v>
      </c>
      <c r="AC49">
        <v>1.267956835694827</v>
      </c>
    </row>
    <row r="50" spans="2:29" x14ac:dyDescent="0.25">
      <c r="B50">
        <v>7</v>
      </c>
      <c r="C50">
        <v>30</v>
      </c>
      <c r="D50">
        <v>3</v>
      </c>
      <c r="E50">
        <v>2.6047022754223197</v>
      </c>
      <c r="F50">
        <v>2.5953303712526727</v>
      </c>
      <c r="G50">
        <v>2.5860264160046906</v>
      </c>
      <c r="H50">
        <v>2.5676193839097325</v>
      </c>
      <c r="I50">
        <v>2.5494753508853578</v>
      </c>
      <c r="J50">
        <v>2.5227400899485009</v>
      </c>
      <c r="K50">
        <v>2.4375738880317148</v>
      </c>
      <c r="L50">
        <v>2.3580210661053189</v>
      </c>
      <c r="M50">
        <v>2.2835394904950057</v>
      </c>
      <c r="N50">
        <v>2.2136552331018762</v>
      </c>
      <c r="O50">
        <v>2.1479520924434223</v>
      </c>
      <c r="P50">
        <v>2.0860630019669686</v>
      </c>
      <c r="Q50">
        <v>2.0276629382868441</v>
      </c>
      <c r="R50">
        <v>1.9724630307428435</v>
      </c>
      <c r="S50">
        <v>1.9202056400804703</v>
      </c>
      <c r="T50">
        <v>1.8706602242190169</v>
      </c>
      <c r="U50">
        <v>1.8236198473137963</v>
      </c>
      <c r="V50">
        <v>1.7788982177147501</v>
      </c>
      <c r="W50">
        <v>1.7363271632000077</v>
      </c>
      <c r="X50">
        <v>1.6957544696410625</v>
      </c>
      <c r="Y50">
        <v>1.6570420232306939</v>
      </c>
      <c r="Z50">
        <v>1.6200642074615894</v>
      </c>
      <c r="AA50">
        <v>1.584706514846723</v>
      </c>
      <c r="AB50">
        <v>1.5508643404227658</v>
      </c>
      <c r="AC50">
        <v>1.5184419297555678</v>
      </c>
    </row>
    <row r="51" spans="2:29" x14ac:dyDescent="0.25">
      <c r="B51">
        <v>8</v>
      </c>
      <c r="C51">
        <v>35</v>
      </c>
      <c r="D51">
        <v>3.5</v>
      </c>
      <c r="E51">
        <v>3.029488202002335</v>
      </c>
      <c r="F51">
        <v>3.0186076212552853</v>
      </c>
      <c r="G51">
        <v>3.0078059137128523</v>
      </c>
      <c r="H51">
        <v>2.9864356678164063</v>
      </c>
      <c r="I51">
        <v>2.9653706899064325</v>
      </c>
      <c r="J51">
        <v>2.9343312647718047</v>
      </c>
      <c r="K51">
        <v>2.8354524550303037</v>
      </c>
      <c r="L51">
        <v>2.743088011421484</v>
      </c>
      <c r="M51">
        <v>2.6566082484976379</v>
      </c>
      <c r="N51">
        <v>2.5754628539037907</v>
      </c>
      <c r="O51">
        <v>2.4991686597501781</v>
      </c>
      <c r="P51">
        <v>2.42729962392335</v>
      </c>
      <c r="Q51">
        <v>2.3594785659968278</v>
      </c>
      <c r="R51">
        <v>2.2953703071644869</v>
      </c>
      <c r="S51">
        <v>2.2346759418909299</v>
      </c>
      <c r="T51">
        <v>2.1771280280243253</v>
      </c>
      <c r="U51">
        <v>2.1224865270748778</v>
      </c>
      <c r="V51">
        <v>2.070535360882686</v>
      </c>
      <c r="W51">
        <v>2.0210794776172825</v>
      </c>
      <c r="X51">
        <v>1.9739423408866721</v>
      </c>
      <c r="Y51">
        <v>1.928963772096655</v>
      </c>
      <c r="Z51">
        <v>1.8859980891373598</v>
      </c>
      <c r="AA51">
        <v>1.8449124947656346</v>
      </c>
      <c r="AB51">
        <v>1.8055856762883344</v>
      </c>
      <c r="AC51">
        <v>1.7679065847808109</v>
      </c>
    </row>
    <row r="52" spans="2:29" x14ac:dyDescent="0.25">
      <c r="B52">
        <v>9</v>
      </c>
      <c r="C52">
        <v>40</v>
      </c>
      <c r="D52">
        <v>4</v>
      </c>
      <c r="E52">
        <v>3.4516351024008878</v>
      </c>
      <c r="F52">
        <v>3.4392613167529325</v>
      </c>
      <c r="G52">
        <v>3.4269772030239336</v>
      </c>
      <c r="H52">
        <v>3.4026740637672384</v>
      </c>
      <c r="I52">
        <v>3.3787179738052311</v>
      </c>
      <c r="J52">
        <v>3.3434182402602741</v>
      </c>
      <c r="K52">
        <v>3.2309656347658269</v>
      </c>
      <c r="L52">
        <v>3.1259178528098466</v>
      </c>
      <c r="M52">
        <v>3.0275586310273837</v>
      </c>
      <c r="N52">
        <v>2.9352621464304689</v>
      </c>
      <c r="O52">
        <v>2.848479048222694</v>
      </c>
      <c r="P52">
        <v>2.7667250215788282</v>
      </c>
      <c r="Q52">
        <v>2.689571359918991</v>
      </c>
      <c r="R52">
        <v>2.6166371430839432</v>
      </c>
      <c r="S52">
        <v>2.5475827090138341</v>
      </c>
      <c r="T52">
        <v>2.4821041745002033</v>
      </c>
      <c r="U52">
        <v>2.4199288122716398</v>
      </c>
      <c r="V52">
        <v>2.3608111313240205</v>
      </c>
      <c r="W52">
        <v>2.3045295380673365</v>
      </c>
      <c r="X52">
        <v>2.2508834797509851</v>
      </c>
      <c r="Y52">
        <v>2.199690990376129</v>
      </c>
      <c r="Z52">
        <v>2.1507865741141727</v>
      </c>
      <c r="AA52">
        <v>2.1040193730248449</v>
      </c>
      <c r="AB52">
        <v>2.0592515752853275</v>
      </c>
      <c r="AC52">
        <v>2.0163570277169827</v>
      </c>
    </row>
    <row r="53" spans="2:29" x14ac:dyDescent="0.25">
      <c r="B53">
        <v>10</v>
      </c>
      <c r="C53">
        <v>45</v>
      </c>
      <c r="D53">
        <v>4.5</v>
      </c>
      <c r="E53">
        <v>3.8711525905169921</v>
      </c>
      <c r="F53">
        <v>3.8573011589810009</v>
      </c>
      <c r="G53">
        <v>3.8435500685508832</v>
      </c>
      <c r="H53">
        <v>3.8163445117171793</v>
      </c>
      <c r="I53">
        <v>3.7895272833997486</v>
      </c>
      <c r="J53">
        <v>3.7500112832061423</v>
      </c>
      <c r="K53">
        <v>3.6241241245247831</v>
      </c>
      <c r="L53">
        <v>3.5065214859092286</v>
      </c>
      <c r="M53">
        <v>3.3964015611083496</v>
      </c>
      <c r="N53">
        <v>3.2930639361330529</v>
      </c>
      <c r="O53">
        <v>3.1958938954912735</v>
      </c>
      <c r="P53">
        <v>3.1043495807366326</v>
      </c>
      <c r="Q53">
        <v>3.0179514098826599</v>
      </c>
      <c r="R53">
        <v>2.9362733032365256</v>
      </c>
      <c r="S53">
        <v>2.8589353633224444</v>
      </c>
      <c r="T53">
        <v>2.7855977334382436</v>
      </c>
      <c r="U53">
        <v>2.7159554177975056</v>
      </c>
      <c r="V53">
        <v>2.6497338909755821</v>
      </c>
      <c r="W53">
        <v>2.5866853589668293</v>
      </c>
      <c r="X53">
        <v>2.5265855610910104</v>
      </c>
      <c r="Y53">
        <v>2.4692310231053551</v>
      </c>
      <c r="Z53">
        <v>2.4144366885523789</v>
      </c>
      <c r="AA53">
        <v>2.36203386862167</v>
      </c>
      <c r="AB53">
        <v>2.3118684613946199</v>
      </c>
      <c r="AC53">
        <v>2.263799399855464</v>
      </c>
    </row>
    <row r="54" spans="2:29" x14ac:dyDescent="0.25">
      <c r="B54">
        <v>11</v>
      </c>
      <c r="C54">
        <v>50</v>
      </c>
      <c r="D54">
        <v>5</v>
      </c>
      <c r="E54">
        <v>4.2880502761981729</v>
      </c>
      <c r="F54">
        <v>4.2727368394884673</v>
      </c>
      <c r="G54">
        <v>4.257534279778489</v>
      </c>
      <c r="H54">
        <v>4.2274569261657584</v>
      </c>
      <c r="I54">
        <v>4.1978086644302053</v>
      </c>
      <c r="J54">
        <v>4.1541206121211927</v>
      </c>
      <c r="K54">
        <v>4.0149385384898597</v>
      </c>
      <c r="L54">
        <v>3.8849096996649184</v>
      </c>
      <c r="M54">
        <v>3.7631478397619476</v>
      </c>
      <c r="N54">
        <v>3.6488789172442724</v>
      </c>
      <c r="O54">
        <v>3.5414237032194293</v>
      </c>
      <c r="P54">
        <v>3.440183549739424</v>
      </c>
      <c r="Q54">
        <v>3.3446286691110165</v>
      </c>
      <c r="R54">
        <v>3.2542884182754701</v>
      </c>
      <c r="S54">
        <v>3.1687431962937147</v>
      </c>
      <c r="T54">
        <v>3.0876176487011202</v>
      </c>
      <c r="U54">
        <v>3.0105749375822755</v>
      </c>
      <c r="V54">
        <v>2.937311886062818</v>
      </c>
      <c r="W54">
        <v>2.8675548444042462</v>
      </c>
      <c r="X54">
        <v>2.8010561548355133</v>
      </c>
      <c r="Y54">
        <v>2.7375911157262212</v>
      </c>
      <c r="Z54">
        <v>2.6769553642271138</v>
      </c>
      <c r="AA54">
        <v>2.6189626112118249</v>
      </c>
      <c r="AB54">
        <v>2.5634426741066312</v>
      </c>
      <c r="AC54">
        <v>2.5102397626391117</v>
      </c>
    </row>
    <row r="55" spans="2:29" x14ac:dyDescent="0.25">
      <c r="B55">
        <v>12</v>
      </c>
      <c r="C55">
        <v>55</v>
      </c>
      <c r="D55">
        <v>5.5</v>
      </c>
      <c r="E55">
        <v>4.7023378474129087</v>
      </c>
      <c r="F55">
        <v>4.6855781208445277</v>
      </c>
      <c r="G55">
        <v>4.668939670335531</v>
      </c>
      <c r="H55">
        <v>4.6360212726513952</v>
      </c>
      <c r="I55">
        <v>4.6035722013918177</v>
      </c>
      <c r="J55">
        <v>4.5557564672829294</v>
      </c>
      <c r="K55">
        <v>4.4034194667423918</v>
      </c>
      <c r="L55">
        <v>4.2610932263108365</v>
      </c>
      <c r="M55">
        <v>4.127808188569805</v>
      </c>
      <c r="N55">
        <v>4.0027176891996836</v>
      </c>
      <c r="O55">
        <v>3.8850788684107691</v>
      </c>
      <c r="P55">
        <v>3.7742370664938725</v>
      </c>
      <c r="Q55">
        <v>3.6696129776414597</v>
      </c>
      <c r="R55">
        <v>3.5706920051443611</v>
      </c>
      <c r="S55">
        <v>3.4770153867915203</v>
      </c>
      <c r="T55">
        <v>3.3881727537970536</v>
      </c>
      <c r="U55">
        <v>3.3037958582748836</v>
      </c>
      <c r="V55">
        <v>3.2235532591563025</v>
      </c>
      <c r="W55">
        <v>3.1471457987934417</v>
      </c>
      <c r="X55">
        <v>3.0743027354240455</v>
      </c>
      <c r="Y55">
        <v>3.0047784224706544</v>
      </c>
      <c r="Z55">
        <v>2.938349445993985</v>
      </c>
      <c r="AA55">
        <v>2.8748121477726416</v>
      </c>
      <c r="AB55">
        <v>2.8139804743815842</v>
      </c>
      <c r="AC55">
        <v>2.7556841030051213</v>
      </c>
    </row>
    <row r="56" spans="2:29" x14ac:dyDescent="0.25">
      <c r="B56">
        <v>13</v>
      </c>
      <c r="C56">
        <v>60</v>
      </c>
      <c r="D56">
        <v>6</v>
      </c>
      <c r="E56">
        <v>5.1140251389846867</v>
      </c>
      <c r="F56">
        <v>5.0958349042044162</v>
      </c>
      <c r="G56">
        <v>5.0777762044162049</v>
      </c>
      <c r="H56">
        <v>5.0420476319531264</v>
      </c>
      <c r="I56">
        <v>5.0068280796054196</v>
      </c>
      <c r="J56">
        <v>4.954929169765629</v>
      </c>
      <c r="K56">
        <v>4.7895775253736179</v>
      </c>
      <c r="L56">
        <v>4.6350827841272393</v>
      </c>
      <c r="M56">
        <v>4.4903932863302662</v>
      </c>
      <c r="N56">
        <v>4.3545907882021382</v>
      </c>
      <c r="O56">
        <v>4.2268697107005444</v>
      </c>
      <c r="P56">
        <v>4.1065201821583974</v>
      </c>
      <c r="Q56">
        <v>3.9929140829597367</v>
      </c>
      <c r="R56">
        <v>3.8854934851123626</v>
      </c>
      <c r="S56">
        <v>3.7837610168809217</v>
      </c>
      <c r="T56">
        <v>3.687271785788762</v>
      </c>
      <c r="U56">
        <v>3.5956265715118465</v>
      </c>
      <c r="V56">
        <v>3.5084660600227853</v>
      </c>
      <c r="W56">
        <v>3.4254659364959901</v>
      </c>
      <c r="X56">
        <v>3.3463326903610362</v>
      </c>
      <c r="Y56">
        <v>3.270800013983036</v>
      </c>
      <c r="Z56">
        <v>3.1986256985967749</v>
      </c>
      <c r="AA56">
        <v>3.1295889486963113</v>
      </c>
      <c r="AB56">
        <v>3.0634880501146373</v>
      </c>
      <c r="AC56">
        <v>3.0001383382966065</v>
      </c>
    </row>
    <row r="57" spans="2:29" x14ac:dyDescent="0.25">
      <c r="B57">
        <v>14</v>
      </c>
      <c r="C57">
        <v>65</v>
      </c>
      <c r="D57">
        <v>6.5</v>
      </c>
      <c r="E57">
        <v>5.5231221893544342</v>
      </c>
      <c r="F57">
        <v>5.503517285165235</v>
      </c>
      <c r="G57">
        <v>5.4840540317466102</v>
      </c>
      <c r="H57">
        <v>5.4455462533286036</v>
      </c>
      <c r="I57">
        <v>5.4075866367914864</v>
      </c>
      <c r="J57">
        <v>5.3516491706331246</v>
      </c>
      <c r="K57">
        <v>5.1734233986325355</v>
      </c>
      <c r="L57">
        <v>5.006889113710419</v>
      </c>
      <c r="M57">
        <v>4.850913800396607</v>
      </c>
      <c r="N57">
        <v>4.7045087144018547</v>
      </c>
      <c r="O57">
        <v>4.5668064960132861</v>
      </c>
      <c r="P57">
        <v>4.4370428818039676</v>
      </c>
      <c r="Q57">
        <v>4.3145416581006195</v>
      </c>
      <c r="R57">
        <v>4.1987021996795937</v>
      </c>
      <c r="S57">
        <v>4.0889890858443296</v>
      </c>
      <c r="T57">
        <v>3.9849233976782132</v>
      </c>
      <c r="U57">
        <v>3.8860753848887195</v>
      </c>
      <c r="V57">
        <v>3.7920582553685849</v>
      </c>
      <c r="W57">
        <v>3.7025228904944623</v>
      </c>
      <c r="X57">
        <v>3.6171533279537549</v>
      </c>
      <c r="Y57">
        <v>3.5356628842387829</v>
      </c>
      <c r="Z57">
        <v>3.4577908128661696</v>
      </c>
      <c r="AA57">
        <v>3.3832994133547931</v>
      </c>
      <c r="AB57">
        <v>3.311971521141388</v>
      </c>
      <c r="AC57">
        <v>3.2436083207732689</v>
      </c>
    </row>
    <row r="58" spans="2:29" x14ac:dyDescent="0.25">
      <c r="B58">
        <v>15</v>
      </c>
      <c r="C58">
        <v>70</v>
      </c>
      <c r="D58">
        <v>7</v>
      </c>
      <c r="E58">
        <v>5.9296392867050729</v>
      </c>
      <c r="F58">
        <v>5.9086355992131896</v>
      </c>
      <c r="G58">
        <v>5.887783532366182</v>
      </c>
      <c r="H58">
        <v>5.8465275979977376</v>
      </c>
      <c r="I58">
        <v>5.805858405299575</v>
      </c>
      <c r="J58">
        <v>5.7459270913649956</v>
      </c>
      <c r="K58">
        <v>5.5549678739563308</v>
      </c>
      <c r="L58">
        <v>5.3765230084266671</v>
      </c>
      <c r="M58">
        <v>5.2093804132345998</v>
      </c>
      <c r="N58">
        <v>5.0524819551246853</v>
      </c>
      <c r="O58">
        <v>4.904899456936592</v>
      </c>
      <c r="P58">
        <v>4.7658151023326063</v>
      </c>
      <c r="Q58">
        <v>4.634505317447946</v>
      </c>
      <c r="R58">
        <v>4.5103274245438723</v>
      </c>
      <c r="S58">
        <v>4.3927085225571867</v>
      </c>
      <c r="T58">
        <v>4.2811361693978149</v>
      </c>
      <c r="U58">
        <v>4.1751505317433182</v>
      </c>
      <c r="V58">
        <v>4.0743377375662515</v>
      </c>
      <c r="W58">
        <v>3.9783242201925835</v>
      </c>
      <c r="X58">
        <v>3.8867718842983572</v>
      </c>
      <c r="Y58">
        <v>3.799373956813096</v>
      </c>
      <c r="Z58">
        <v>3.7158514113554264</v>
      </c>
      <c r="AA58">
        <v>3.6359498751753727</v>
      </c>
      <c r="AB58">
        <v>3.5594369438169382</v>
      </c>
      <c r="AC58">
        <v>3.4860998417494602</v>
      </c>
    </row>
    <row r="59" spans="2:29" x14ac:dyDescent="0.25">
      <c r="B59">
        <v>16</v>
      </c>
      <c r="C59">
        <v>75</v>
      </c>
      <c r="D59">
        <v>7.5</v>
      </c>
      <c r="E59">
        <v>6.3335870056607337</v>
      </c>
      <c r="F59">
        <v>6.311200457945298</v>
      </c>
      <c r="G59">
        <v>6.288975352378662</v>
      </c>
      <c r="H59">
        <v>6.2450023739717677</v>
      </c>
      <c r="I59">
        <v>6.2016541460409833</v>
      </c>
      <c r="J59">
        <v>6.1377737564912582</v>
      </c>
      <c r="K59">
        <v>5.9342218706541319</v>
      </c>
      <c r="L59">
        <v>5.7439953396638259</v>
      </c>
      <c r="M59">
        <v>5.5658038446906675</v>
      </c>
      <c r="N59">
        <v>5.3985210045443033</v>
      </c>
      <c r="O59">
        <v>5.2411588101316884</v>
      </c>
      <c r="P59">
        <v>5.0928467479147068</v>
      </c>
      <c r="Q59">
        <v>4.9528146304476603</v>
      </c>
      <c r="R59">
        <v>4.8203783818045123</v>
      </c>
      <c r="S59">
        <v>4.6949281963684637</v>
      </c>
      <c r="T59">
        <v>4.575918617528524</v>
      </c>
      <c r="U59">
        <v>4.4628601798510941</v>
      </c>
      <c r="V59">
        <v>4.3553123324483298</v>
      </c>
      <c r="W59">
        <v>4.2528774184128855</v>
      </c>
      <c r="X59">
        <v>4.1551955295731551</v>
      </c>
      <c r="Y59">
        <v>4.0619400905501948</v>
      </c>
      <c r="Z59">
        <v>3.9728140534554739</v>
      </c>
      <c r="AA59">
        <v>3.8875466062630588</v>
      </c>
      <c r="AB59">
        <v>3.8058903151993873</v>
      </c>
      <c r="AC59">
        <v>3.7276186353861154</v>
      </c>
    </row>
    <row r="60" spans="2:29" x14ac:dyDescent="0.25">
      <c r="B60">
        <v>17</v>
      </c>
      <c r="C60">
        <v>80</v>
      </c>
      <c r="D60">
        <v>8</v>
      </c>
      <c r="E60">
        <v>6.7349762356622502</v>
      </c>
      <c r="F60">
        <v>6.7112227771408959</v>
      </c>
      <c r="G60">
        <v>6.6876404317218991</v>
      </c>
      <c r="H60">
        <v>6.6409815632274141</v>
      </c>
      <c r="I60">
        <v>6.594984875077631</v>
      </c>
      <c r="J60">
        <v>6.5272002193226113</v>
      </c>
      <c r="K60">
        <v>6.3111964629463122</v>
      </c>
      <c r="L60">
        <v>6.109317077440287</v>
      </c>
      <c r="M60">
        <v>5.9201948704195706</v>
      </c>
      <c r="N60">
        <v>5.7426363801606461</v>
      </c>
      <c r="O60">
        <v>5.5755947710747664</v>
      </c>
      <c r="P60">
        <v>5.4181477031851069</v>
      </c>
      <c r="Q60">
        <v>5.2694791334306226</v>
      </c>
      <c r="R60">
        <v>5.1288642505652495</v>
      </c>
      <c r="S60">
        <v>4.9956569266199793</v>
      </c>
      <c r="T60">
        <v>4.8692792038563883</v>
      </c>
      <c r="U60">
        <v>4.7492124391255945</v>
      </c>
      <c r="V60">
        <v>4.6349898062462165</v>
      </c>
      <c r="W60">
        <v>4.5261899176572831</v>
      </c>
      <c r="X60">
        <v>4.4224313736946046</v>
      </c>
      <c r="Y60">
        <v>4.323368084679621</v>
      </c>
      <c r="Z60">
        <v>4.2286852400291908</v>
      </c>
      <c r="AA60">
        <v>4.138095821603641</v>
      </c>
      <c r="AB60">
        <v>4.0513375768667119</v>
      </c>
      <c r="AC60">
        <v>3.9681703821612913</v>
      </c>
    </row>
    <row r="61" spans="2:29" x14ac:dyDescent="0.25">
      <c r="B61">
        <v>18</v>
      </c>
      <c r="C61">
        <v>85</v>
      </c>
      <c r="D61">
        <v>8.5</v>
      </c>
      <c r="E61">
        <v>7.133818202019004</v>
      </c>
      <c r="F61">
        <v>7.1087137976586323</v>
      </c>
      <c r="G61">
        <v>7.0837900249092565</v>
      </c>
      <c r="H61">
        <v>7.0344764421342854</v>
      </c>
      <c r="I61">
        <v>6.9858618837326958</v>
      </c>
      <c r="J61">
        <v>6.9142177815825887</v>
      </c>
      <c r="K61">
        <v>6.6859028979986403</v>
      </c>
      <c r="L61">
        <v>6.4724993068814802</v>
      </c>
      <c r="M61">
        <v>6.2725643368817421</v>
      </c>
      <c r="N61">
        <v>6.0848386364159497</v>
      </c>
      <c r="O61">
        <v>5.908217566398438</v>
      </c>
      <c r="P61">
        <v>5.7417278444179143</v>
      </c>
      <c r="Q61">
        <v>5.5845083397257884</v>
      </c>
      <c r="R61">
        <v>5.4357941760853414</v>
      </c>
      <c r="S61">
        <v>5.2949034909281361</v>
      </c>
      <c r="T61">
        <v>5.1612263428701644</v>
      </c>
      <c r="U61">
        <v>5.0342153684099298</v>
      </c>
      <c r="V61">
        <v>4.9133778717460395</v>
      </c>
      <c r="W61">
        <v>4.7982690956911762</v>
      </c>
      <c r="X61">
        <v>4.6884864713870238</v>
      </c>
      <c r="Y61">
        <v>4.58366468342322</v>
      </c>
      <c r="Z61">
        <v>4.4834714176017796</v>
      </c>
      <c r="AA61">
        <v>4.3876036828789395</v>
      </c>
      <c r="AB61">
        <v>4.2957846183939363</v>
      </c>
      <c r="AC61">
        <v>4.2077607120425169</v>
      </c>
    </row>
    <row r="62" spans="2:29" x14ac:dyDescent="0.25">
      <c r="B62">
        <v>19</v>
      </c>
      <c r="C62">
        <v>90</v>
      </c>
      <c r="D62">
        <v>9</v>
      </c>
      <c r="E62">
        <v>7.530124480543348</v>
      </c>
      <c r="F62">
        <v>7.5036851000442324</v>
      </c>
      <c r="G62">
        <v>7.477435715606541</v>
      </c>
      <c r="H62">
        <v>7.4254985959591444</v>
      </c>
      <c r="I62">
        <v>7.3742967530086281</v>
      </c>
      <c r="J62">
        <v>7.2988380076737611</v>
      </c>
      <c r="K62">
        <v>7.0583526095326032</v>
      </c>
      <c r="L62">
        <v>6.8335532410291755</v>
      </c>
      <c r="M62">
        <v>6.6229231732842155</v>
      </c>
      <c r="N62">
        <v>6.4251383757514038</v>
      </c>
      <c r="O62">
        <v>6.239037444079897</v>
      </c>
      <c r="P62">
        <v>6.0635970488819089</v>
      </c>
      <c r="Q62">
        <v>5.8979117482298555</v>
      </c>
      <c r="R62">
        <v>5.7411772776160452</v>
      </c>
      <c r="S62">
        <v>5.5926766323419139</v>
      </c>
      <c r="T62">
        <v>5.4517684082950888</v>
      </c>
      <c r="U62">
        <v>5.3178769814386708</v>
      </c>
      <c r="V62">
        <v>5.1904841937283734</v>
      </c>
      <c r="W62">
        <v>5.0691222805073846</v>
      </c>
      <c r="X62">
        <v>4.9533678267137544</v>
      </c>
      <c r="Y62">
        <v>4.8428365801330528</v>
      </c>
      <c r="Z62">
        <v>4.7371789821416188</v>
      </c>
      <c r="AA62">
        <v>4.6360763019235112</v>
      </c>
      <c r="AB62">
        <v>4.5392372805157679</v>
      </c>
      <c r="AC62">
        <v>4.4463952073824373</v>
      </c>
    </row>
    <row r="63" spans="2:29" x14ac:dyDescent="0.25">
      <c r="B63">
        <v>20</v>
      </c>
      <c r="C63">
        <v>95</v>
      </c>
      <c r="D63">
        <v>9.5</v>
      </c>
      <c r="E63">
        <v>7.9239070065885935</v>
      </c>
      <c r="F63">
        <v>7.8961486136501851</v>
      </c>
      <c r="G63">
        <v>7.868589425827083</v>
      </c>
      <c r="H63">
        <v>7.8140599281936014</v>
      </c>
      <c r="I63">
        <v>7.7603013630248343</v>
      </c>
      <c r="J63">
        <v>7.6810727342418428</v>
      </c>
      <c r="K63">
        <v>7.4285572275405132</v>
      </c>
      <c r="L63">
        <v>7.1924902304066638</v>
      </c>
      <c r="M63">
        <v>6.9712824008069116</v>
      </c>
      <c r="N63">
        <v>6.7635462573812717</v>
      </c>
      <c r="O63">
        <v>6.5680646817018138</v>
      </c>
      <c r="P63">
        <v>6.3837652025618965</v>
      </c>
      <c r="Q63">
        <v>6.2096988505860207</v>
      </c>
      <c r="R63">
        <v>6.0450226550489017</v>
      </c>
      <c r="S63">
        <v>5.8889850654821183</v>
      </c>
      <c r="T63">
        <v>5.7409137387503826</v>
      </c>
      <c r="U63">
        <v>5.6002052520437093</v>
      </c>
      <c r="V63">
        <v>5.4663163937535995</v>
      </c>
      <c r="W63">
        <v>5.3387567547221328</v>
      </c>
      <c r="X63">
        <v>5.2170823971139706</v>
      </c>
      <c r="Y63">
        <v>5.1008904209978505</v>
      </c>
      <c r="Z63">
        <v>4.98981428246368</v>
      </c>
      <c r="AA63">
        <v>4.8835197438504432</v>
      </c>
      <c r="AB63">
        <v>4.7817013579981698</v>
      </c>
      <c r="AC63">
        <v>4.6840794055580321</v>
      </c>
    </row>
    <row r="64" spans="2:29" x14ac:dyDescent="0.25">
      <c r="B64">
        <v>21</v>
      </c>
      <c r="C64">
        <v>100</v>
      </c>
      <c r="D64">
        <v>10</v>
      </c>
      <c r="E64">
        <v>8.3151780792322612</v>
      </c>
      <c r="F64">
        <v>8.2861166209918817</v>
      </c>
      <c r="G64">
        <v>8.2572634204523947</v>
      </c>
      <c r="H64">
        <v>8.2001726653800979</v>
      </c>
      <c r="I64">
        <v>8.1438878981191607</v>
      </c>
      <c r="J64">
        <v>8.0609340756391763</v>
      </c>
      <c r="K64">
        <v>7.7965285845846859</v>
      </c>
      <c r="L64">
        <v>7.5493217697249237</v>
      </c>
      <c r="M64">
        <v>7.3176531394248796</v>
      </c>
      <c r="N64">
        <v>7.1000730040371849</v>
      </c>
      <c r="O64">
        <v>6.895309592992299</v>
      </c>
      <c r="P64">
        <v>6.7022422064154172</v>
      </c>
      <c r="Q64">
        <v>6.5198791371116558</v>
      </c>
      <c r="R64">
        <v>6.3473393944916419</v>
      </c>
      <c r="S64">
        <v>6.1838374817586406</v>
      </c>
      <c r="T64">
        <v>6.0286706426113374</v>
      </c>
      <c r="U64">
        <v>5.8812081186717764</v>
      </c>
      <c r="V64">
        <v>5.7408820543500045</v>
      </c>
      <c r="W64">
        <v>5.6071797594513075</v>
      </c>
      <c r="X64">
        <v>5.4796370969861012</v>
      </c>
      <c r="Y64">
        <v>5.357832808353062</v>
      </c>
      <c r="Z64">
        <v>5.2413836232852331</v>
      </c>
      <c r="AA64">
        <v>5.1299400298714675</v>
      </c>
      <c r="AB64">
        <v>5.0231826022408672</v>
      </c>
      <c r="AC64">
        <v>4.9208188013723317</v>
      </c>
    </row>
    <row r="65" spans="2:29" x14ac:dyDescent="0.25">
      <c r="B65">
        <v>22</v>
      </c>
      <c r="C65">
        <v>110</v>
      </c>
      <c r="D65">
        <v>11</v>
      </c>
      <c r="E65">
        <v>9.0902368756456084</v>
      </c>
      <c r="F65">
        <v>9.0586170107127888</v>
      </c>
      <c r="G65">
        <v>9.0272230362325114</v>
      </c>
      <c r="H65">
        <v>8.9651028782948874</v>
      </c>
      <c r="I65">
        <v>8.903857006842296</v>
      </c>
      <c r="J65">
        <v>8.8135864572342726</v>
      </c>
      <c r="K65">
        <v>8.5258198761988861</v>
      </c>
      <c r="L65">
        <v>8.2567152209536072</v>
      </c>
      <c r="M65">
        <v>8.0044741501683205</v>
      </c>
      <c r="N65">
        <v>7.7675263290217575</v>
      </c>
      <c r="O65">
        <v>7.544493900905878</v>
      </c>
      <c r="P65">
        <v>7.3341624718547571</v>
      </c>
      <c r="Q65">
        <v>7.1354572451385003</v>
      </c>
      <c r="R65">
        <v>6.9474232617139196</v>
      </c>
      <c r="S65">
        <v>6.7692089388592862</v>
      </c>
      <c r="T65">
        <v>6.6000522770267764</v>
      </c>
      <c r="U65">
        <v>6.4392692396427629</v>
      </c>
      <c r="V65">
        <v>6.286243913576314</v>
      </c>
      <c r="W65">
        <v>6.1404201373901088</v>
      </c>
      <c r="X65">
        <v>6.0012943461648032</v>
      </c>
      <c r="Y65">
        <v>5.8684094299509066</v>
      </c>
      <c r="Z65">
        <v>5.7413494409280705</v>
      </c>
      <c r="AA65">
        <v>5.6197350145067571</v>
      </c>
      <c r="AB65">
        <v>5.5032193936678313</v>
      </c>
      <c r="AC65">
        <v>5.3914849651460575</v>
      </c>
    </row>
    <row r="66" spans="2:29" x14ac:dyDescent="0.25">
      <c r="B66">
        <v>23</v>
      </c>
      <c r="C66">
        <v>120</v>
      </c>
      <c r="D66">
        <v>12</v>
      </c>
      <c r="E66">
        <v>9.8554064514683706</v>
      </c>
      <c r="F66">
        <v>9.8212915180745952</v>
      </c>
      <c r="G66">
        <v>9.7874194753511592</v>
      </c>
      <c r="H66">
        <v>9.7203934638913356</v>
      </c>
      <c r="I66">
        <v>9.6543076124642564</v>
      </c>
      <c r="J66">
        <v>9.5568976206693659</v>
      </c>
      <c r="K66">
        <v>9.2463252604472501</v>
      </c>
      <c r="L66">
        <v>8.9558285430933129</v>
      </c>
      <c r="M66">
        <v>8.6834772751392908</v>
      </c>
      <c r="N66">
        <v>8.4275855526021868</v>
      </c>
      <c r="O66">
        <v>8.1866737581047335</v>
      </c>
      <c r="P66">
        <v>7.9594375121732188</v>
      </c>
      <c r="Q66">
        <v>7.7447221266690294</v>
      </c>
      <c r="R66">
        <v>7.5415014466918171</v>
      </c>
      <c r="S66">
        <v>7.3488602191214074</v>
      </c>
      <c r="T66">
        <v>7.1659793152299711</v>
      </c>
      <c r="U66">
        <v>6.9921232783520209</v>
      </c>
      <c r="V66">
        <v>6.8266297774303837</v>
      </c>
      <c r="W66">
        <v>6.6689006319699988</v>
      </c>
      <c r="X66">
        <v>6.5183941397713996</v>
      </c>
      <c r="Y66">
        <v>6.3746184903599294</v>
      </c>
      <c r="Z66">
        <v>6.2371260876521184</v>
      </c>
      <c r="AA66">
        <v>6.1055086376297352</v>
      </c>
      <c r="AB66">
        <v>5.9793928825149107</v>
      </c>
      <c r="AC66">
        <v>5.8584368835897962</v>
      </c>
    </row>
    <row r="67" spans="2:29" x14ac:dyDescent="0.25">
      <c r="B67">
        <v>24</v>
      </c>
      <c r="C67">
        <v>130</v>
      </c>
      <c r="D67">
        <v>13</v>
      </c>
      <c r="E67">
        <v>10.610797880458122</v>
      </c>
      <c r="F67">
        <v>10.574250736388121</v>
      </c>
      <c r="G67">
        <v>10.537962850558714</v>
      </c>
      <c r="H67">
        <v>10.466153573755781</v>
      </c>
      <c r="I67">
        <v>10.395347905823318</v>
      </c>
      <c r="J67">
        <v>10.290974317606874</v>
      </c>
      <c r="K67">
        <v>9.9581467275220241</v>
      </c>
      <c r="L67">
        <v>9.6467590562819812</v>
      </c>
      <c r="M67">
        <v>9.3547552914784973</v>
      </c>
      <c r="N67">
        <v>9.0803390602924168</v>
      </c>
      <c r="O67">
        <v>8.8219333255716208</v>
      </c>
      <c r="P67">
        <v>8.5781474401613771</v>
      </c>
      <c r="Q67">
        <v>8.3477500270229719</v>
      </c>
      <c r="R67">
        <v>8.1296465087634733</v>
      </c>
      <c r="S67">
        <v>7.9228603755034532</v>
      </c>
      <c r="T67">
        <v>7.7265174795957279</v>
      </c>
      <c r="U67">
        <v>7.5398327972274855</v>
      </c>
      <c r="V67">
        <v>7.362099212949877</v>
      </c>
      <c r="W67">
        <v>7.1926779727232848</v>
      </c>
      <c r="X67">
        <v>7.0309905207046404</v>
      </c>
      <c r="Y67">
        <v>6.8765114895503681</v>
      </c>
      <c r="Z67">
        <v>6.7287626570242889</v>
      </c>
      <c r="AA67">
        <v>6.5873077158394793</v>
      </c>
      <c r="AB67">
        <v>6.4517477309237519</v>
      </c>
      <c r="AC67">
        <v>6.3217171801906469</v>
      </c>
    </row>
    <row r="68" spans="2:29" x14ac:dyDescent="0.25">
      <c r="B68">
        <v>25</v>
      </c>
      <c r="C68">
        <v>140</v>
      </c>
      <c r="D68">
        <v>14</v>
      </c>
      <c r="E68">
        <v>11.356527344475872</v>
      </c>
      <c r="F68">
        <v>11.317610233392292</v>
      </c>
      <c r="G68">
        <v>11.278968118474678</v>
      </c>
      <c r="H68">
        <v>11.202496951273666</v>
      </c>
      <c r="I68">
        <v>11.127090429068378</v>
      </c>
      <c r="J68">
        <v>11.015927310801541</v>
      </c>
      <c r="K68">
        <v>10.661389302452539</v>
      </c>
      <c r="L68">
        <v>10.329606341796238</v>
      </c>
      <c r="M68">
        <v>10.018402623703032</v>
      </c>
      <c r="N68">
        <v>9.725876397984722</v>
      </c>
      <c r="O68">
        <v>9.4503575384824412</v>
      </c>
      <c r="P68">
        <v>9.1903728370308286</v>
      </c>
      <c r="Q68">
        <v>8.9446174184749889</v>
      </c>
      <c r="R68">
        <v>8.7119310442929176</v>
      </c>
      <c r="S68">
        <v>8.491278349436536</v>
      </c>
      <c r="T68">
        <v>8.2817322656803718</v>
      </c>
      <c r="U68">
        <v>8.0824600433503502</v>
      </c>
      <c r="V68">
        <v>7.8927114048391642</v>
      </c>
      <c r="W68">
        <v>7.7118084571991714</v>
      </c>
      <c r="X68">
        <v>7.53913706417221</v>
      </c>
      <c r="Y68">
        <v>7.3741394352894947</v>
      </c>
      <c r="Z68">
        <v>7.2163077348674642</v>
      </c>
      <c r="AA68">
        <v>7.065178549615033</v>
      </c>
      <c r="AB68">
        <v>6.9203280822380817</v>
      </c>
      <c r="AC68">
        <v>6.7813679614649214</v>
      </c>
    </row>
    <row r="69" spans="2:29" x14ac:dyDescent="0.25">
      <c r="B69">
        <v>26</v>
      </c>
      <c r="C69">
        <v>150</v>
      </c>
      <c r="D69">
        <v>15</v>
      </c>
      <c r="E69">
        <v>12.092715658218248</v>
      </c>
      <c r="F69">
        <v>12.05149009089835</v>
      </c>
      <c r="G69">
        <v>12.01055463372545</v>
      </c>
      <c r="H69">
        <v>11.929541513546472</v>
      </c>
      <c r="I69">
        <v>11.849651683820781</v>
      </c>
      <c r="J69">
        <v>11.731871018940437</v>
      </c>
      <c r="K69">
        <v>11.356160791968884</v>
      </c>
      <c r="L69">
        <v>11.004472065823727</v>
      </c>
      <c r="M69">
        <v>10.674515225436199</v>
      </c>
      <c r="N69">
        <v>10.36428819728342</v>
      </c>
      <c r="O69">
        <v>10.072032064237872</v>
      </c>
      <c r="P69">
        <v>9.7961947348360692</v>
      </c>
      <c r="Q69">
        <v>9.5354010007270755</v>
      </c>
      <c r="R69">
        <v>9.2884277003488087</v>
      </c>
      <c r="S69">
        <v>9.0541829940070127</v>
      </c>
      <c r="T69">
        <v>8.8316889720795633</v>
      </c>
      <c r="U69">
        <v>8.6200669828302239</v>
      </c>
      <c r="V69">
        <v>8.4185251927204749</v>
      </c>
      <c r="W69">
        <v>8.2263479898473264</v>
      </c>
      <c r="X69">
        <v>8.0428869172709323</v>
      </c>
      <c r="Y69">
        <v>7.8675528827196288</v>
      </c>
      <c r="Z69">
        <v>7.6998094383212647</v>
      </c>
      <c r="AA69">
        <v>7.5391669614854786</v>
      </c>
      <c r="AB69">
        <v>7.3851775980188448</v>
      </c>
      <c r="AC69">
        <v>7.237430852638421</v>
      </c>
    </row>
    <row r="70" spans="2:29" x14ac:dyDescent="0.25">
      <c r="B70">
        <v>27</v>
      </c>
      <c r="C70">
        <v>160</v>
      </c>
      <c r="D70">
        <v>16</v>
      </c>
      <c r="E70">
        <v>12.819487739461755</v>
      </c>
      <c r="F70">
        <v>12.776014390160693</v>
      </c>
      <c r="G70">
        <v>12.732845649037394</v>
      </c>
      <c r="H70">
        <v>12.647408879761285</v>
      </c>
      <c r="I70">
        <v>12.56315168633332</v>
      </c>
      <c r="J70">
        <v>12.438923109373242</v>
      </c>
      <c r="K70">
        <v>12.042571482701378</v>
      </c>
      <c r="L70">
        <v>11.671459758398385</v>
      </c>
      <c r="M70">
        <v>11.323190420208178</v>
      </c>
      <c r="N70">
        <v>10.995666063717341</v>
      </c>
      <c r="O70">
        <v>10.687043226979211</v>
      </c>
      <c r="P70">
        <v>10.39569456873099</v>
      </c>
      <c r="Q70">
        <v>10.12017767428825</v>
      </c>
      <c r="R70">
        <v>9.8592091640835697</v>
      </c>
      <c r="S70">
        <v>9.6116430753619611</v>
      </c>
      <c r="T70">
        <v>9.3764527107767073</v>
      </c>
      <c r="U70">
        <v>9.1527153177033274</v>
      </c>
      <c r="V70">
        <v>8.9395990927251585</v>
      </c>
      <c r="W70">
        <v>8.7363521068642118</v>
      </c>
      <c r="X70">
        <v>8.5422928259764852</v>
      </c>
      <c r="Y70">
        <v>8.3568019626358314</v>
      </c>
      <c r="Z70">
        <v>8.1793154447521363</v>
      </c>
      <c r="AA70">
        <v>8.0093183250742808</v>
      </c>
      <c r="AB70">
        <v>7.8463394868475547</v>
      </c>
      <c r="AC70">
        <v>7.6899470259302074</v>
      </c>
    </row>
    <row r="71" spans="2:29" x14ac:dyDescent="0.25">
      <c r="B71">
        <v>28</v>
      </c>
      <c r="C71">
        <v>170</v>
      </c>
      <c r="D71">
        <v>17</v>
      </c>
      <c r="E71">
        <v>13.536972053210786</v>
      </c>
      <c r="F71">
        <v>13.491310670828295</v>
      </c>
      <c r="G71">
        <v>13.44596778861283</v>
      </c>
      <c r="H71">
        <v>13.356223872319038</v>
      </c>
      <c r="I71">
        <v>13.26771349497271</v>
      </c>
      <c r="J71">
        <v>13.137204062663331</v>
      </c>
      <c r="K71">
        <v>12.720733810571121</v>
      </c>
      <c r="L71">
        <v>12.330674564029463</v>
      </c>
      <c r="M71">
        <v>11.964526715138218</v>
      </c>
      <c r="N71">
        <v>11.620102439409711</v>
      </c>
      <c r="O71">
        <v>11.295477908328847</v>
      </c>
      <c r="P71">
        <v>10.988954107280465</v>
      </c>
      <c r="Q71">
        <v>10.699024493722145</v>
      </c>
      <c r="R71">
        <v>10.424348133725049</v>
      </c>
      <c r="S71">
        <v>10.163727257374411</v>
      </c>
      <c r="T71">
        <v>9.9160884022859968</v>
      </c>
      <c r="U71">
        <v>9.6804664890415655</v>
      </c>
      <c r="V71">
        <v>9.4559913065939671</v>
      </c>
      <c r="W71">
        <v>9.2418759897315557</v>
      </c>
      <c r="X71">
        <v>9.0374071519003838</v>
      </c>
      <c r="Y71">
        <v>8.8419364005042382</v>
      </c>
      <c r="Z71">
        <v>8.6548730122844582</v>
      </c>
      <c r="AA71">
        <v>8.4756775865589109</v>
      </c>
      <c r="AB71">
        <v>8.3038565262614004</v>
      </c>
      <c r="AC71">
        <v>8.1389572226136018</v>
      </c>
    </row>
    <row r="72" spans="2:29" x14ac:dyDescent="0.25">
      <c r="B72">
        <v>29</v>
      </c>
      <c r="C72">
        <v>180</v>
      </c>
      <c r="D72">
        <v>18</v>
      </c>
      <c r="E72">
        <v>14.245300051228739</v>
      </c>
      <c r="F72">
        <v>14.197509384582698</v>
      </c>
      <c r="G72">
        <v>14.150050515527925</v>
      </c>
      <c r="H72">
        <v>14.056114010746873</v>
      </c>
      <c r="I72">
        <v>13.963462729362599</v>
      </c>
      <c r="J72">
        <v>13.826836727310441</v>
      </c>
      <c r="K72">
        <v>13.39076201679871</v>
      </c>
      <c r="L72">
        <v>12.9822229770188</v>
      </c>
      <c r="M72">
        <v>12.598623598468489</v>
      </c>
      <c r="N72">
        <v>12.237690449488143</v>
      </c>
      <c r="O72">
        <v>11.897423432230287</v>
      </c>
      <c r="P72">
        <v>11.576055367524985</v>
      </c>
      <c r="Q72">
        <v>11.272018606473754</v>
      </c>
      <c r="R72">
        <v>10.983917276063128</v>
      </c>
      <c r="S72">
        <v>10.710504073753004</v>
      </c>
      <c r="T72">
        <v>10.450660759185416</v>
      </c>
      <c r="U72">
        <v>10.203381669369303</v>
      </c>
      <c r="V72">
        <v>9.9677597209596822</v>
      </c>
      <c r="W72">
        <v>9.7429744697609522</v>
      </c>
      <c r="X72">
        <v>9.5282818808210763</v>
      </c>
      <c r="Y72">
        <v>9.32300552796608</v>
      </c>
      <c r="Z72">
        <v>9.1265289934723661</v>
      </c>
      <c r="AA72">
        <v>8.9382892798727589</v>
      </c>
      <c r="AB72">
        <v>8.7577710789807526</v>
      </c>
      <c r="AC72">
        <v>8.5845017698719523</v>
      </c>
    </row>
    <row r="73" spans="2:29" x14ac:dyDescent="0.25">
      <c r="B73">
        <v>30</v>
      </c>
      <c r="C73">
        <v>190</v>
      </c>
      <c r="D73">
        <v>19</v>
      </c>
      <c r="E73">
        <v>14.944605622808401</v>
      </c>
      <c r="F73">
        <v>14.894743359074264</v>
      </c>
      <c r="G73">
        <v>14.845225608523531</v>
      </c>
      <c r="H73">
        <v>14.747209013294448</v>
      </c>
      <c r="I73">
        <v>14.650527095629203</v>
      </c>
      <c r="J73">
        <v>14.507945878424591</v>
      </c>
      <c r="K73">
        <v>14.052771802307957</v>
      </c>
      <c r="L73">
        <v>13.626212571528578</v>
      </c>
      <c r="M73">
        <v>13.225581329550383</v>
      </c>
      <c r="N73">
        <v>12.84852373959432</v>
      </c>
      <c r="O73">
        <v>12.49296744019248</v>
      </c>
      <c r="P73">
        <v>12.157080520208599</v>
      </c>
      <c r="Q73">
        <v>11.839237181926222</v>
      </c>
      <c r="R73">
        <v>11.537989174436648</v>
      </c>
      <c r="S73">
        <v>11.252041891051968</v>
      </c>
      <c r="T73">
        <v>10.98023426102759</v>
      </c>
      <c r="U73">
        <v>10.721521746976208</v>
      </c>
      <c r="V73">
        <v>10.474961899059364</v>
      </c>
      <c r="W73">
        <v>10.239702025598971</v>
      </c>
      <c r="X73">
        <v>10.014968624692283</v>
      </c>
      <c r="Y73">
        <v>9.8000582883140481</v>
      </c>
      <c r="Z73">
        <v>9.5943298434133943</v>
      </c>
      <c r="AA73">
        <v>9.3971975367894913</v>
      </c>
      <c r="AB73">
        <v>9.2081251044302412</v>
      </c>
      <c r="AC73">
        <v>9.0266205933297066</v>
      </c>
    </row>
    <row r="74" spans="2:29" x14ac:dyDescent="0.25">
      <c r="B74">
        <v>31</v>
      </c>
      <c r="C74">
        <v>200</v>
      </c>
      <c r="D74">
        <v>20</v>
      </c>
      <c r="E74">
        <v>15.63502456810992</v>
      </c>
      <c r="F74">
        <v>15.583147283341919</v>
      </c>
      <c r="G74">
        <v>15.531626659231302</v>
      </c>
      <c r="H74">
        <v>15.429640316973472</v>
      </c>
      <c r="I74">
        <v>15.329035928230187</v>
      </c>
      <c r="J74">
        <v>15.180657790422782</v>
      </c>
      <c r="K74">
        <v>14.706879989315519</v>
      </c>
      <c r="L74">
        <v>14.262751734045745</v>
      </c>
      <c r="M74">
        <v>13.845500727920681</v>
      </c>
      <c r="N74">
        <v>13.452696310248109</v>
      </c>
      <c r="O74">
        <v>13.082197761928125</v>
      </c>
      <c r="P74">
        <v>12.732111789496262</v>
      </c>
      <c r="Q74">
        <v>12.400757334441051</v>
      </c>
      <c r="R74">
        <v>12.086636270480668</v>
      </c>
      <c r="S74">
        <v>11.788408865416157</v>
      </c>
      <c r="T74">
        <v>11.504873123096578</v>
      </c>
      <c r="U74">
        <v>11.234947304277917</v>
      </c>
      <c r="V74">
        <v>10.977655066754739</v>
      </c>
      <c r="W74">
        <v>10.732112775335363</v>
      </c>
      <c r="X74">
        <v>10.497518618567586</v>
      </c>
      <c r="Y74">
        <v>10.273143237203657</v>
      </c>
      <c r="Z74">
        <v>10.05832162341301</v>
      </c>
      <c r="AA74">
        <v>9.8524460928658275</v>
      </c>
      <c r="AB74">
        <v>9.6549601664139786</v>
      </c>
      <c r="AC74">
        <v>9.4653532260185305</v>
      </c>
    </row>
    <row r="75" spans="2:29" x14ac:dyDescent="0.25">
      <c r="B75">
        <v>32</v>
      </c>
      <c r="C75">
        <v>220</v>
      </c>
      <c r="D75">
        <v>22</v>
      </c>
      <c r="E75">
        <v>16.989752391837701</v>
      </c>
      <c r="F75">
        <v>16.934010165692957</v>
      </c>
      <c r="G75">
        <v>16.878647249158185</v>
      </c>
      <c r="H75">
        <v>16.7690434759038</v>
      </c>
      <c r="I75">
        <v>16.660909894929638</v>
      </c>
      <c r="J75">
        <v>16.501400079990617</v>
      </c>
      <c r="K75">
        <v>15.991862532019869</v>
      </c>
      <c r="L75">
        <v>15.51391482601815</v>
      </c>
      <c r="M75">
        <v>15.064629372528923</v>
      </c>
      <c r="N75">
        <v>14.641436088153018</v>
      </c>
      <c r="O75">
        <v>14.242068828401324</v>
      </c>
      <c r="P75">
        <v>13.864521227958955</v>
      </c>
      <c r="Q75">
        <v>13.507010072471976</v>
      </c>
      <c r="R75">
        <v>13.167944740909709</v>
      </c>
      <c r="S75">
        <v>12.845901572491391</v>
      </c>
      <c r="T75">
        <v>12.539602252984942</v>
      </c>
      <c r="U75">
        <v>12.24789550065832</v>
      </c>
      <c r="V75">
        <v>11.969741476010434</v>
      </c>
      <c r="W75">
        <v>11.704198451718598</v>
      </c>
      <c r="X75">
        <v>11.450411367495851</v>
      </c>
      <c r="Y75">
        <v>11.207601964331792</v>
      </c>
      <c r="Z75">
        <v>10.975060248093055</v>
      </c>
      <c r="AA75">
        <v>10.752137076853105</v>
      </c>
      <c r="AB75">
        <v>10.538237702025485</v>
      </c>
      <c r="AC75">
        <v>10.332816122236382</v>
      </c>
    </row>
    <row r="76" spans="2:29" x14ac:dyDescent="0.25">
      <c r="B76">
        <v>33</v>
      </c>
      <c r="C76">
        <v>240</v>
      </c>
      <c r="D76">
        <v>24</v>
      </c>
      <c r="E76">
        <v>18.310590178760528</v>
      </c>
      <c r="F76">
        <v>18.251195195862081</v>
      </c>
      <c r="G76">
        <v>18.192200078469064</v>
      </c>
      <c r="H76">
        <v>18.075392893351129</v>
      </c>
      <c r="I76">
        <v>17.960136107453984</v>
      </c>
      <c r="J76">
        <v>17.790089009926767</v>
      </c>
      <c r="K76">
        <v>17.246654775532839</v>
      </c>
      <c r="L76">
        <v>16.736586056418517</v>
      </c>
      <c r="M76">
        <v>16.25681964878034</v>
      </c>
      <c r="N76">
        <v>15.80466277352315</v>
      </c>
      <c r="O76">
        <v>15.377738164502178</v>
      </c>
      <c r="P76">
        <v>14.973938684238098</v>
      </c>
      <c r="Q76">
        <v>14.591389593728909</v>
      </c>
      <c r="R76">
        <v>14.228417010569514</v>
      </c>
      <c r="S76">
        <v>13.883521400874304</v>
      </c>
      <c r="T76">
        <v>13.555355189813886</v>
      </c>
      <c r="U76">
        <v>13.242703760764179</v>
      </c>
      <c r="V76">
        <v>12.944469257291374</v>
      </c>
      <c r="W76">
        <v>12.65965671521889</v>
      </c>
      <c r="X76">
        <v>12.387362141133167</v>
      </c>
      <c r="Y76">
        <v>12.126762224350003</v>
      </c>
      <c r="Z76">
        <v>11.877105425721076</v>
      </c>
      <c r="AA76">
        <v>11.637704231847563</v>
      </c>
      <c r="AB76">
        <v>11.407928399691622</v>
      </c>
      <c r="AC76">
        <v>11.187199046080501</v>
      </c>
    </row>
    <row r="77" spans="2:29" x14ac:dyDescent="0.25">
      <c r="B77">
        <v>34</v>
      </c>
      <c r="C77">
        <v>260</v>
      </c>
      <c r="D77">
        <v>26</v>
      </c>
      <c r="E77">
        <v>19.598647225097533</v>
      </c>
      <c r="F77">
        <v>19.535801968070366</v>
      </c>
      <c r="G77">
        <v>19.473375164074685</v>
      </c>
      <c r="H77">
        <v>19.349759797085305</v>
      </c>
      <c r="I77">
        <v>19.227767477895288</v>
      </c>
      <c r="J77">
        <v>19.047750871756005</v>
      </c>
      <c r="K77">
        <v>18.472201077741865</v>
      </c>
      <c r="L77">
        <v>17.931637088364258</v>
      </c>
      <c r="M77">
        <v>17.422878409948751</v>
      </c>
      <c r="N77">
        <v>16.943125181773173</v>
      </c>
      <c r="O77">
        <v>16.489902397916406</v>
      </c>
      <c r="P77">
        <v>16.06101367949266</v>
      </c>
      <c r="Q77">
        <v>15.654502748527749</v>
      </c>
      <c r="R77">
        <v>15.268621149443639</v>
      </c>
      <c r="S77">
        <v>14.901801067713487</v>
      </c>
      <c r="T77">
        <v>14.552632330082245</v>
      </c>
      <c r="U77">
        <v>14.219842853438733</v>
      </c>
      <c r="V77">
        <v>13.902281952370977</v>
      </c>
      <c r="W77">
        <v>13.598906027921757</v>
      </c>
      <c r="X77">
        <v>13.308766249073358</v>
      </c>
      <c r="Y77">
        <v>13.030997909311575</v>
      </c>
      <c r="Z77">
        <v>12.76481119726698</v>
      </c>
      <c r="AA77">
        <v>12.509483165976063</v>
      </c>
      <c r="AB77">
        <v>12.264350722103012</v>
      </c>
      <c r="AC77">
        <v>12.028804486339821</v>
      </c>
    </row>
    <row r="78" spans="2:29" x14ac:dyDescent="0.25">
      <c r="B78">
        <v>35</v>
      </c>
      <c r="C78">
        <v>280</v>
      </c>
      <c r="D78">
        <v>28</v>
      </c>
      <c r="E78">
        <v>20.855024986947125</v>
      </c>
      <c r="F78">
        <v>20.788922222247237</v>
      </c>
      <c r="G78">
        <v>20.723254654457968</v>
      </c>
      <c r="H78">
        <v>20.593207518348379</v>
      </c>
      <c r="I78">
        <v>20.464848994056943</v>
      </c>
      <c r="J78">
        <v>20.275403991971647</v>
      </c>
      <c r="K78">
        <v>19.669437707565454</v>
      </c>
      <c r="L78">
        <v>19.099931397521352</v>
      </c>
      <c r="M78">
        <v>18.563604254724293</v>
      </c>
      <c r="N78">
        <v>18.057563840573113</v>
      </c>
      <c r="O78">
        <v>17.5792498696702</v>
      </c>
      <c r="P78">
        <v>17.126387482221734</v>
      </c>
      <c r="Q78">
        <v>16.696948199070931</v>
      </c>
      <c r="R78">
        <v>16.289117131519337</v>
      </c>
      <c r="S78">
        <v>15.901265310575589</v>
      </c>
      <c r="T78">
        <v>15.531926228067984</v>
      </c>
      <c r="U78">
        <v>15.179775860334823</v>
      </c>
      <c r="V78">
        <v>14.843615585425841</v>
      </c>
      <c r="W78">
        <v>14.5223575155959</v>
      </c>
      <c r="X78">
        <v>14.215011854944523</v>
      </c>
      <c r="Y78">
        <v>13.920675962382855</v>
      </c>
      <c r="Z78">
        <v>13.638524856547759</v>
      </c>
      <c r="AA78">
        <v>13.367802944788931</v>
      </c>
      <c r="AB78">
        <v>13.107816795223259</v>
      </c>
      <c r="AC78">
        <v>12.857928800854435</v>
      </c>
    </row>
    <row r="79" spans="2:29" x14ac:dyDescent="0.25">
      <c r="B79">
        <v>36</v>
      </c>
      <c r="C79">
        <v>300</v>
      </c>
      <c r="D79">
        <v>30</v>
      </c>
      <c r="E79">
        <v>22.080808877732789</v>
      </c>
      <c r="F79">
        <v>22.011631783550403</v>
      </c>
      <c r="G79">
        <v>21.942904908861649</v>
      </c>
      <c r="H79">
        <v>21.806783843389013</v>
      </c>
      <c r="I79">
        <v>21.672410334273895</v>
      </c>
      <c r="J79">
        <v>21.474051725453005</v>
      </c>
      <c r="K79">
        <v>20.839286970146262</v>
      </c>
      <c r="L79">
        <v>20.242319352780513</v>
      </c>
      <c r="M79">
        <v>19.679783414380431</v>
      </c>
      <c r="N79">
        <v>19.148707557595209</v>
      </c>
      <c r="O79">
        <v>18.646457776073277</v>
      </c>
      <c r="P79">
        <v>18.170690734536301</v>
      </c>
      <c r="Q79">
        <v>17.719314454142946</v>
      </c>
      <c r="R79">
        <v>17.29045521379766</v>
      </c>
      <c r="S79">
        <v>16.882429556621872</v>
      </c>
      <c r="T79">
        <v>16.493720509431167</v>
      </c>
      <c r="U79">
        <v>16.122957295299944</v>
      </c>
      <c r="V79">
        <v>15.76889795554627</v>
      </c>
      <c r="W79">
        <v>15.430414405726175</v>
      </c>
      <c r="X79">
        <v>15.106479536626225</v>
      </c>
      <c r="Y79">
        <v>14.796156040508821</v>
      </c>
      <c r="Z79">
        <v>14.498586698647493</v>
      </c>
      <c r="AA79">
        <v>14.212985911311836</v>
      </c>
      <c r="AB79">
        <v>13.93863228802433</v>
      </c>
      <c r="AC79">
        <v>13.674862145825287</v>
      </c>
    </row>
    <row r="80" spans="2:29" x14ac:dyDescent="0.25">
      <c r="B80">
        <v>37</v>
      </c>
      <c r="C80">
        <v>320</v>
      </c>
      <c r="D80">
        <v>32</v>
      </c>
      <c r="E80">
        <v>23.277062067961676</v>
      </c>
      <c r="F80">
        <v>23.204984461220548</v>
      </c>
      <c r="G80">
        <v>23.133370493849569</v>
      </c>
      <c r="H80">
        <v>22.991515201015325</v>
      </c>
      <c r="I80">
        <v>22.851460240210709</v>
      </c>
      <c r="J80">
        <v>22.644677095726848</v>
      </c>
      <c r="K80">
        <v>21.982652654951295</v>
      </c>
      <c r="L80">
        <v>21.35963435713732</v>
      </c>
      <c r="M80">
        <v>20.772186487296995</v>
      </c>
      <c r="N80">
        <v>20.217270663277251</v>
      </c>
      <c r="O80">
        <v>19.692189846218486</v>
      </c>
      <c r="P80">
        <v>19.194541501200092</v>
      </c>
      <c r="Q80">
        <v>18.722178235418472</v>
      </c>
      <c r="R80">
        <v>18.273174573302157</v>
      </c>
      <c r="S80">
        <v>17.845798790396923</v>
      </c>
      <c r="T80">
        <v>17.438488935584086</v>
      </c>
      <c r="U80">
        <v>17.049832336048361</v>
      </c>
      <c r="V80">
        <v>16.678548010653728</v>
      </c>
      <c r="W80">
        <v>16.323471522241444</v>
      </c>
      <c r="X80">
        <v>15.983541883457557</v>
      </c>
      <c r="Y80">
        <v>15.657790198428797</v>
      </c>
      <c r="Z80">
        <v>15.345329777344389</v>
      </c>
      <c r="AA80">
        <v>15.04534750543537</v>
      </c>
      <c r="AB80">
        <v>14.757096284056644</v>
      </c>
      <c r="AC80">
        <v>14.479888391208686</v>
      </c>
    </row>
    <row r="81" spans="2:29" x14ac:dyDescent="0.25">
      <c r="B81">
        <v>38</v>
      </c>
      <c r="C81">
        <v>340</v>
      </c>
      <c r="D81">
        <v>34</v>
      </c>
      <c r="E81">
        <v>24.444820972852391</v>
      </c>
      <c r="F81">
        <v>24.37000760264452</v>
      </c>
      <c r="G81">
        <v>24.295669802687364</v>
      </c>
      <c r="H81">
        <v>24.148402409986605</v>
      </c>
      <c r="I81">
        <v>24.002982388841176</v>
      </c>
      <c r="J81">
        <v>23.78823884760839</v>
      </c>
      <c r="K81">
        <v>23.100416639978111</v>
      </c>
      <c r="L81">
        <v>22.452689933104455</v>
      </c>
      <c r="M81">
        <v>21.841565943494626</v>
      </c>
      <c r="N81">
        <v>21.263950879779358</v>
      </c>
      <c r="O81">
        <v>20.717094527298812</v>
      </c>
      <c r="P81">
        <v>20.198543729137462</v>
      </c>
      <c r="Q81">
        <v>19.706103174241402</v>
      </c>
      <c r="R81">
        <v>19.237802208873305</v>
      </c>
      <c r="S81">
        <v>18.791866632513806</v>
      </c>
      <c r="T81">
        <v>18.366694634787539</v>
      </c>
      <c r="U81">
        <v>17.960836186394285</v>
      </c>
      <c r="V81">
        <v>17.572975322408869</v>
      </c>
      <c r="W81">
        <v>17.201914857094518</v>
      </c>
      <c r="X81">
        <v>16.846563150631724</v>
      </c>
      <c r="Y81">
        <v>16.505922613897773</v>
      </c>
      <c r="Z81">
        <v>16.17907969079641</v>
      </c>
      <c r="AA81">
        <v>15.865196101114401</v>
      </c>
      <c r="AB81">
        <v>15.563501162435793</v>
      </c>
      <c r="AC81">
        <v>15.273285038826042</v>
      </c>
    </row>
    <row r="82" spans="2:29" x14ac:dyDescent="0.25">
      <c r="B82">
        <v>39</v>
      </c>
      <c r="C82">
        <v>360</v>
      </c>
      <c r="D82">
        <v>36</v>
      </c>
      <c r="E82">
        <v>25.585092119740516</v>
      </c>
      <c r="F82">
        <v>25.507699002102733</v>
      </c>
      <c r="G82">
        <v>25.430792005176169</v>
      </c>
      <c r="H82">
        <v>25.278417709597392</v>
      </c>
      <c r="I82">
        <v>25.127932501926331</v>
      </c>
      <c r="J82">
        <v>24.905668671633368</v>
      </c>
      <c r="K82">
        <v>24.19343647182863</v>
      </c>
      <c r="L82">
        <v>23.522277618755194</v>
      </c>
      <c r="M82">
        <v>22.888654301007438</v>
      </c>
      <c r="N82">
        <v>22.289427745657083</v>
      </c>
      <c r="O82">
        <v>21.721803628536829</v>
      </c>
      <c r="P82">
        <v>21.183286084429657</v>
      </c>
      <c r="Q82">
        <v>20.671638818215854</v>
      </c>
      <c r="R82">
        <v>20.184852096376829</v>
      </c>
      <c r="S82">
        <v>19.721114624798467</v>
      </c>
      <c r="T82">
        <v>19.278789500650902</v>
      </c>
      <c r="U82">
        <v>18.856393573436709</v>
      </c>
      <c r="V82">
        <v>18.452579669133584</v>
      </c>
      <c r="W82">
        <v>18.066121227523055</v>
      </c>
      <c r="X82">
        <v>17.69589898078166</v>
      </c>
      <c r="Y82">
        <v>17.340889364815936</v>
      </c>
      <c r="Z82">
        <v>17.000154406527638</v>
      </c>
      <c r="AA82">
        <v>16.672832872491334</v>
      </c>
      <c r="AB82">
        <v>16.358132499237414</v>
      </c>
      <c r="AC82">
        <v>16.055323153915904</v>
      </c>
    </row>
    <row r="83" spans="2:29" x14ac:dyDescent="0.25">
      <c r="B83">
        <v>40</v>
      </c>
      <c r="C83">
        <v>380</v>
      </c>
      <c r="D83">
        <v>38</v>
      </c>
      <c r="E83">
        <v>26.69885011561755</v>
      </c>
      <c r="F83">
        <v>26.619024892024797</v>
      </c>
      <c r="G83">
        <v>26.539695062295682</v>
      </c>
      <c r="H83">
        <v>26.382502820457947</v>
      </c>
      <c r="I83">
        <v>26.227236452097699</v>
      </c>
      <c r="J83">
        <v>25.997869376571586</v>
      </c>
      <c r="K83">
        <v>25.262543746827721</v>
      </c>
      <c r="L83">
        <v>24.569165539424692</v>
      </c>
      <c r="M83">
        <v>23.914162871127825</v>
      </c>
      <c r="N83">
        <v>23.294361518120141</v>
      </c>
      <c r="O83">
        <v>22.706931365062438</v>
      </c>
      <c r="P83">
        <v>22.149341123571535</v>
      </c>
      <c r="Q83">
        <v>21.619319916479835</v>
      </c>
      <c r="R83">
        <v>21.114824575608594</v>
      </c>
      <c r="S83">
        <v>20.634011707477477</v>
      </c>
      <c r="T83">
        <v>20.175213749250648</v>
      </c>
      <c r="U83">
        <v>19.736918375219126</v>
      </c>
      <c r="V83">
        <v>19.317750725538446</v>
      </c>
      <c r="W83">
        <v>18.916458020230689</v>
      </c>
      <c r="X83">
        <v>18.531896195800893</v>
      </c>
      <c r="Y83">
        <v>18.163018262610972</v>
      </c>
      <c r="Z83">
        <v>17.808864130966864</v>
      </c>
      <c r="AA83">
        <v>17.468551694798101</v>
      </c>
      <c r="AB83">
        <v>17.14126899552134</v>
      </c>
      <c r="AC83">
        <v>16.826267316536736</v>
      </c>
    </row>
    <row r="84" spans="2:29" x14ac:dyDescent="0.25">
      <c r="B84">
        <v>41</v>
      </c>
      <c r="C84">
        <v>400</v>
      </c>
      <c r="D84">
        <v>40</v>
      </c>
      <c r="E84">
        <v>27.787036473818933</v>
      </c>
      <c r="F84">
        <v>27.70491878051304</v>
      </c>
      <c r="G84">
        <v>27.623304574534163</v>
      </c>
      <c r="H84">
        <v>27.461567814285939</v>
      </c>
      <c r="I84">
        <v>27.301789153916516</v>
      </c>
      <c r="J84">
        <v>27.065713812032513</v>
      </c>
      <c r="K84">
        <v>26.308543135910543</v>
      </c>
      <c r="L84">
        <v>25.594097530081296</v>
      </c>
      <c r="M84">
        <v>24.918780973100787</v>
      </c>
      <c r="N84">
        <v>24.27939247493148</v>
      </c>
      <c r="O84">
        <v>23.673073741442675</v>
      </c>
      <c r="P84">
        <v>23.097264752441031</v>
      </c>
      <c r="Q84">
        <v>22.549665948021342</v>
      </c>
      <c r="R84">
        <v>22.028205942113921</v>
      </c>
      <c r="S84">
        <v>21.531013868652185</v>
      </c>
      <c r="T84">
        <v>21.056395620681084</v>
      </c>
      <c r="U84">
        <v>20.602813369076401</v>
      </c>
      <c r="V84">
        <v>20.168867852921633</v>
      </c>
      <c r="W84">
        <v>19.753283018851569</v>
      </c>
      <c r="X84">
        <v>19.354892657351233</v>
      </c>
      <c r="Y84">
        <v>18.972628741927892</v>
      </c>
      <c r="Z84">
        <v>18.605511224809185</v>
      </c>
      <c r="AA84">
        <v>18.252639082212696</v>
      </c>
      <c r="AB84">
        <v>17.913182434821717</v>
      </c>
      <c r="AC84">
        <v>17.586375596122604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B3:K39"/>
  <sheetViews>
    <sheetView topLeftCell="A7" workbookViewId="0">
      <selection activeCell="B8" sqref="B8:K30"/>
    </sheetView>
  </sheetViews>
  <sheetFormatPr defaultRowHeight="15" x14ac:dyDescent="0.25"/>
  <cols>
    <col min="9" max="9" width="0" hidden="1" customWidth="1"/>
    <col min="10" max="10" width="12" bestFit="1" customWidth="1"/>
  </cols>
  <sheetData>
    <row r="3" spans="2:11" x14ac:dyDescent="0.25">
      <c r="C3" t="s">
        <v>11</v>
      </c>
    </row>
    <row r="4" spans="2:11" x14ac:dyDescent="0.25">
      <c r="C4" t="s">
        <v>12</v>
      </c>
    </row>
    <row r="5" spans="2:11" x14ac:dyDescent="0.25">
      <c r="C5" t="s">
        <v>13</v>
      </c>
    </row>
    <row r="6" spans="2:11" x14ac:dyDescent="0.25">
      <c r="C6" t="s">
        <v>14</v>
      </c>
    </row>
    <row r="8" spans="2:11" x14ac:dyDescent="0.25">
      <c r="B8" s="1" t="s">
        <v>21</v>
      </c>
      <c r="C8" s="1" t="s">
        <v>0</v>
      </c>
      <c r="D8" s="1" t="s">
        <v>1</v>
      </c>
      <c r="E8" s="1" t="s">
        <v>2</v>
      </c>
      <c r="F8" s="1" t="s">
        <v>3</v>
      </c>
      <c r="G8" s="1" t="s">
        <v>4</v>
      </c>
      <c r="H8" s="1" t="s">
        <v>5</v>
      </c>
      <c r="I8" s="1" t="s">
        <v>6</v>
      </c>
      <c r="J8" s="6" t="s">
        <v>28</v>
      </c>
      <c r="K8" s="6" t="s">
        <v>29</v>
      </c>
    </row>
    <row r="9" spans="2:11" x14ac:dyDescent="0.25">
      <c r="B9" s="1" t="s">
        <v>10</v>
      </c>
      <c r="C9" s="1" t="s">
        <v>10</v>
      </c>
      <c r="D9" s="1" t="s">
        <v>9</v>
      </c>
      <c r="E9" s="1" t="s">
        <v>8</v>
      </c>
      <c r="F9" s="1" t="s">
        <v>7</v>
      </c>
      <c r="G9" s="1" t="s">
        <v>7</v>
      </c>
      <c r="H9" s="1" t="s">
        <v>7</v>
      </c>
      <c r="I9" s="1" t="s">
        <v>7</v>
      </c>
      <c r="J9" s="6" t="s">
        <v>7</v>
      </c>
      <c r="K9" s="6" t="s">
        <v>7</v>
      </c>
    </row>
    <row r="10" spans="2:11" x14ac:dyDescent="0.25">
      <c r="B10" s="4">
        <v>4</v>
      </c>
      <c r="C10" s="1">
        <v>100</v>
      </c>
      <c r="D10" s="1">
        <v>97</v>
      </c>
      <c r="E10" s="1">
        <v>65</v>
      </c>
      <c r="F10" s="1">
        <v>1</v>
      </c>
      <c r="G10" s="1">
        <v>114.3</v>
      </c>
      <c r="H10" s="1">
        <v>3.72</v>
      </c>
      <c r="I10" s="1">
        <v>5.6</v>
      </c>
      <c r="J10" s="1">
        <v>6.02</v>
      </c>
      <c r="K10" s="1">
        <f>G10-2*J10</f>
        <v>102.25999999999999</v>
      </c>
    </row>
    <row r="11" spans="2:11" x14ac:dyDescent="0.25">
      <c r="B11" s="4">
        <f>B10+2</f>
        <v>6</v>
      </c>
      <c r="C11" s="1">
        <v>150</v>
      </c>
      <c r="D11" s="1">
        <v>97</v>
      </c>
      <c r="E11" s="1">
        <v>65</v>
      </c>
      <c r="F11" s="1">
        <v>1</v>
      </c>
      <c r="G11" s="1">
        <v>168.3</v>
      </c>
      <c r="H11" s="1">
        <v>5.48</v>
      </c>
      <c r="I11" s="1">
        <v>8</v>
      </c>
      <c r="J11" s="1">
        <v>7.1120000000000001</v>
      </c>
      <c r="K11" s="1">
        <f t="shared" ref="K11:K30" si="0">G11-2*J11</f>
        <v>154.07600000000002</v>
      </c>
    </row>
    <row r="12" spans="2:11" x14ac:dyDescent="0.25">
      <c r="B12" s="4">
        <f t="shared" ref="B12:B30" si="1">B11+2</f>
        <v>8</v>
      </c>
      <c r="C12" s="1">
        <v>200</v>
      </c>
      <c r="D12" s="1">
        <v>97</v>
      </c>
      <c r="E12" s="1">
        <v>65</v>
      </c>
      <c r="F12" s="1">
        <v>1</v>
      </c>
      <c r="G12" s="1">
        <v>219.1</v>
      </c>
      <c r="H12" s="1">
        <v>7.14</v>
      </c>
      <c r="I12" s="1">
        <v>10</v>
      </c>
      <c r="J12" s="1">
        <v>8.1790000000000003</v>
      </c>
      <c r="K12" s="1">
        <f t="shared" si="0"/>
        <v>202.74199999999999</v>
      </c>
    </row>
    <row r="13" spans="2:11" x14ac:dyDescent="0.25">
      <c r="B13" s="4">
        <f t="shared" si="1"/>
        <v>10</v>
      </c>
      <c r="C13" s="1">
        <v>250</v>
      </c>
      <c r="D13" s="1">
        <v>97</v>
      </c>
      <c r="E13" s="1">
        <v>65</v>
      </c>
      <c r="F13" s="1">
        <v>1</v>
      </c>
      <c r="G13" s="1">
        <v>273</v>
      </c>
      <c r="H13" s="1">
        <v>8.89</v>
      </c>
      <c r="I13" s="1">
        <v>12.5</v>
      </c>
      <c r="J13" s="1">
        <v>9.2710000000000008</v>
      </c>
      <c r="K13" s="1">
        <f t="shared" si="0"/>
        <v>254.458</v>
      </c>
    </row>
    <row r="14" spans="2:11" x14ac:dyDescent="0.25">
      <c r="B14" s="4">
        <f t="shared" si="1"/>
        <v>12</v>
      </c>
      <c r="C14" s="1">
        <v>300</v>
      </c>
      <c r="D14" s="1">
        <v>97</v>
      </c>
      <c r="E14" s="1">
        <v>65</v>
      </c>
      <c r="F14" s="1">
        <v>1</v>
      </c>
      <c r="G14" s="1">
        <v>323.89999999999998</v>
      </c>
      <c r="H14" s="1">
        <v>10.55</v>
      </c>
      <c r="I14" s="1">
        <v>14.2</v>
      </c>
      <c r="J14" s="1">
        <v>10.311999999999999</v>
      </c>
      <c r="K14" s="1">
        <f t="shared" si="0"/>
        <v>303.27599999999995</v>
      </c>
    </row>
    <row r="15" spans="2:11" x14ac:dyDescent="0.25">
      <c r="B15" s="4">
        <f t="shared" si="1"/>
        <v>14</v>
      </c>
      <c r="C15" s="1">
        <v>350</v>
      </c>
      <c r="D15" s="1">
        <v>97</v>
      </c>
      <c r="E15" s="1">
        <v>65</v>
      </c>
      <c r="F15" s="1">
        <v>1</v>
      </c>
      <c r="G15" s="1">
        <v>355.6</v>
      </c>
      <c r="H15" s="1">
        <v>8.9700000000000006</v>
      </c>
      <c r="I15" s="1">
        <v>11</v>
      </c>
      <c r="J15" s="1">
        <v>11.1</v>
      </c>
      <c r="K15" s="1">
        <f t="shared" si="0"/>
        <v>333.40000000000003</v>
      </c>
    </row>
    <row r="16" spans="2:11" x14ac:dyDescent="0.25">
      <c r="B16" s="4">
        <f t="shared" si="1"/>
        <v>16</v>
      </c>
      <c r="C16" s="1">
        <v>400</v>
      </c>
      <c r="D16" s="1">
        <v>97</v>
      </c>
      <c r="E16" s="1">
        <v>65</v>
      </c>
      <c r="F16" s="1">
        <v>1</v>
      </c>
      <c r="G16" s="1">
        <v>406.4</v>
      </c>
      <c r="H16" s="1">
        <v>10.25</v>
      </c>
      <c r="I16" s="1">
        <v>12.5</v>
      </c>
      <c r="J16" s="1">
        <v>12.7</v>
      </c>
      <c r="K16" s="1">
        <f t="shared" si="0"/>
        <v>381</v>
      </c>
    </row>
    <row r="17" spans="2:11" x14ac:dyDescent="0.25">
      <c r="B17" s="4">
        <f t="shared" si="1"/>
        <v>18</v>
      </c>
      <c r="C17" s="1">
        <v>450</v>
      </c>
      <c r="D17" s="1">
        <v>97</v>
      </c>
      <c r="E17" s="1">
        <v>65</v>
      </c>
      <c r="F17" s="1">
        <v>1</v>
      </c>
      <c r="G17" s="1">
        <v>457</v>
      </c>
      <c r="H17" s="1">
        <v>11.53</v>
      </c>
      <c r="I17" s="1">
        <v>14.2</v>
      </c>
      <c r="J17" s="1">
        <v>14.275</v>
      </c>
      <c r="K17" s="1">
        <f t="shared" si="0"/>
        <v>428.45</v>
      </c>
    </row>
    <row r="18" spans="2:11" x14ac:dyDescent="0.25">
      <c r="B18" s="4">
        <f t="shared" si="1"/>
        <v>20</v>
      </c>
      <c r="C18" s="1">
        <v>500</v>
      </c>
      <c r="D18" s="1">
        <v>97</v>
      </c>
      <c r="E18" s="1">
        <v>65</v>
      </c>
      <c r="F18" s="1">
        <v>1</v>
      </c>
      <c r="G18" s="1">
        <v>508</v>
      </c>
      <c r="H18" s="1">
        <v>12.82</v>
      </c>
      <c r="I18" s="1">
        <v>16</v>
      </c>
      <c r="J18" s="1">
        <v>15.061999999999999</v>
      </c>
      <c r="K18" s="1">
        <f t="shared" si="0"/>
        <v>477.87599999999998</v>
      </c>
    </row>
    <row r="19" spans="2:11" x14ac:dyDescent="0.25">
      <c r="B19" s="4">
        <v>24</v>
      </c>
      <c r="C19" s="1">
        <v>600</v>
      </c>
      <c r="D19" s="1">
        <v>97</v>
      </c>
      <c r="E19" s="1">
        <v>65</v>
      </c>
      <c r="F19" s="1">
        <v>1</v>
      </c>
      <c r="G19" s="1">
        <v>610</v>
      </c>
      <c r="H19" s="1">
        <v>15.81</v>
      </c>
      <c r="I19" s="1">
        <v>20</v>
      </c>
      <c r="J19" s="1">
        <v>17.48</v>
      </c>
      <c r="K19" s="1">
        <f t="shared" si="0"/>
        <v>575.04</v>
      </c>
    </row>
    <row r="20" spans="2:11" x14ac:dyDescent="0.25">
      <c r="B20" s="4">
        <f t="shared" si="1"/>
        <v>26</v>
      </c>
      <c r="C20" s="1">
        <v>650</v>
      </c>
      <c r="D20" s="1">
        <v>97</v>
      </c>
      <c r="E20" s="1">
        <v>65</v>
      </c>
      <c r="F20" s="1">
        <v>1</v>
      </c>
      <c r="G20" s="1">
        <v>660</v>
      </c>
      <c r="H20" s="1">
        <v>17.11</v>
      </c>
      <c r="I20" s="1">
        <v>20</v>
      </c>
      <c r="J20" s="1">
        <v>12.7</v>
      </c>
      <c r="K20" s="1">
        <f t="shared" si="0"/>
        <v>634.6</v>
      </c>
    </row>
    <row r="21" spans="2:11" x14ac:dyDescent="0.25">
      <c r="B21" s="4">
        <f t="shared" si="1"/>
        <v>28</v>
      </c>
      <c r="C21" s="1">
        <v>700</v>
      </c>
      <c r="D21" s="1">
        <v>97</v>
      </c>
      <c r="E21" s="1">
        <v>65</v>
      </c>
      <c r="F21" s="1">
        <v>1</v>
      </c>
      <c r="G21" s="1">
        <v>711</v>
      </c>
      <c r="H21" s="1">
        <v>18.43</v>
      </c>
      <c r="I21" s="1">
        <v>22.2</v>
      </c>
      <c r="J21" s="1">
        <v>12.7</v>
      </c>
      <c r="K21" s="1">
        <f t="shared" si="0"/>
        <v>685.6</v>
      </c>
    </row>
    <row r="22" spans="2:11" x14ac:dyDescent="0.25">
      <c r="B22" s="4">
        <f t="shared" si="1"/>
        <v>30</v>
      </c>
      <c r="C22" s="1">
        <v>750</v>
      </c>
      <c r="D22" s="1">
        <v>97</v>
      </c>
      <c r="E22" s="1">
        <v>65</v>
      </c>
      <c r="F22" s="1">
        <v>1</v>
      </c>
      <c r="G22" s="1">
        <v>762</v>
      </c>
      <c r="H22" s="1">
        <v>19.75</v>
      </c>
      <c r="I22" s="1">
        <v>22.2</v>
      </c>
      <c r="J22" s="1">
        <v>12.7</v>
      </c>
      <c r="K22" s="1">
        <f t="shared" si="0"/>
        <v>736.6</v>
      </c>
    </row>
    <row r="23" spans="2:11" x14ac:dyDescent="0.25">
      <c r="B23" s="4">
        <f t="shared" si="1"/>
        <v>32</v>
      </c>
      <c r="C23" s="1">
        <v>800</v>
      </c>
      <c r="D23" s="1">
        <v>97</v>
      </c>
      <c r="E23" s="1">
        <v>65</v>
      </c>
      <c r="F23" s="1">
        <v>1</v>
      </c>
      <c r="G23" s="1">
        <v>813</v>
      </c>
      <c r="H23" s="1">
        <v>21.08</v>
      </c>
      <c r="I23" s="1">
        <v>25</v>
      </c>
      <c r="J23" s="1">
        <v>17.48</v>
      </c>
      <c r="K23" s="1">
        <f t="shared" si="0"/>
        <v>778.04</v>
      </c>
    </row>
    <row r="24" spans="2:11" x14ac:dyDescent="0.25">
      <c r="B24" s="4">
        <f t="shared" si="1"/>
        <v>34</v>
      </c>
      <c r="C24" s="1">
        <v>850</v>
      </c>
      <c r="D24" s="1">
        <v>97</v>
      </c>
      <c r="E24" s="1">
        <v>65</v>
      </c>
      <c r="F24" s="1">
        <v>1</v>
      </c>
      <c r="G24" s="1">
        <v>864</v>
      </c>
      <c r="H24" s="1">
        <v>22.4</v>
      </c>
      <c r="I24" s="1">
        <v>25</v>
      </c>
      <c r="J24" s="1">
        <v>17.48</v>
      </c>
      <c r="K24" s="1">
        <f t="shared" si="0"/>
        <v>829.04</v>
      </c>
    </row>
    <row r="25" spans="2:11" x14ac:dyDescent="0.25">
      <c r="B25" s="4">
        <f t="shared" si="1"/>
        <v>36</v>
      </c>
      <c r="C25" s="1">
        <v>900</v>
      </c>
      <c r="D25" s="1">
        <v>97</v>
      </c>
      <c r="E25" s="1">
        <v>65</v>
      </c>
      <c r="F25" s="1">
        <v>1</v>
      </c>
      <c r="G25" s="1">
        <v>914</v>
      </c>
      <c r="H25" s="1">
        <v>23.7</v>
      </c>
      <c r="I25" s="1">
        <v>28</v>
      </c>
      <c r="J25" s="1">
        <v>19.05</v>
      </c>
      <c r="K25" s="1">
        <f t="shared" si="0"/>
        <v>875.9</v>
      </c>
    </row>
    <row r="26" spans="2:11" x14ac:dyDescent="0.25">
      <c r="B26" s="4">
        <v>40</v>
      </c>
      <c r="C26" s="1">
        <v>1000</v>
      </c>
      <c r="D26" s="1">
        <v>97</v>
      </c>
      <c r="E26" s="1">
        <v>65</v>
      </c>
      <c r="F26" s="1">
        <v>1</v>
      </c>
      <c r="G26" s="1">
        <v>1016</v>
      </c>
      <c r="H26" s="1">
        <v>26.34</v>
      </c>
      <c r="I26" s="1">
        <v>30</v>
      </c>
      <c r="J26" s="1">
        <v>12.7</v>
      </c>
      <c r="K26" s="1">
        <f t="shared" si="0"/>
        <v>990.6</v>
      </c>
    </row>
    <row r="27" spans="2:11" x14ac:dyDescent="0.25">
      <c r="B27" s="4">
        <f t="shared" si="1"/>
        <v>42</v>
      </c>
      <c r="C27" s="1">
        <v>1050</v>
      </c>
      <c r="D27" s="1">
        <v>97</v>
      </c>
      <c r="E27" s="1">
        <v>65</v>
      </c>
      <c r="F27" s="1">
        <v>1</v>
      </c>
      <c r="G27" s="1">
        <v>1067</v>
      </c>
      <c r="H27" s="1">
        <v>27.66</v>
      </c>
      <c r="I27" s="1">
        <v>30</v>
      </c>
      <c r="J27" s="1">
        <v>12.7</v>
      </c>
      <c r="K27" s="1">
        <f t="shared" si="0"/>
        <v>1041.5999999999999</v>
      </c>
    </row>
    <row r="28" spans="2:11" x14ac:dyDescent="0.25">
      <c r="B28" s="4">
        <f t="shared" si="1"/>
        <v>44</v>
      </c>
      <c r="C28" s="1">
        <v>1100</v>
      </c>
      <c r="D28" s="1">
        <v>97</v>
      </c>
      <c r="E28" s="1">
        <v>65</v>
      </c>
      <c r="F28" s="1">
        <v>1</v>
      </c>
      <c r="G28" s="1">
        <v>1118</v>
      </c>
      <c r="H28" s="1">
        <v>28.98</v>
      </c>
      <c r="I28" s="1">
        <v>32</v>
      </c>
      <c r="J28" s="1">
        <v>12.7</v>
      </c>
      <c r="K28" s="1">
        <f t="shared" si="0"/>
        <v>1092.5999999999999</v>
      </c>
    </row>
    <row r="29" spans="2:11" x14ac:dyDescent="0.25">
      <c r="B29" s="4">
        <f t="shared" si="1"/>
        <v>46</v>
      </c>
      <c r="C29" s="1">
        <v>1150</v>
      </c>
      <c r="D29" s="1">
        <v>97</v>
      </c>
      <c r="E29" s="1">
        <v>65</v>
      </c>
      <c r="F29" s="1">
        <v>1</v>
      </c>
      <c r="G29" s="1">
        <v>1168</v>
      </c>
      <c r="H29" s="1">
        <v>30.28</v>
      </c>
      <c r="I29" s="1">
        <v>36</v>
      </c>
      <c r="J29" s="1">
        <v>12.7</v>
      </c>
      <c r="K29" s="1">
        <f t="shared" si="0"/>
        <v>1142.5999999999999</v>
      </c>
    </row>
    <row r="30" spans="2:11" x14ac:dyDescent="0.25">
      <c r="B30" s="4">
        <f t="shared" si="1"/>
        <v>48</v>
      </c>
      <c r="C30" s="1">
        <v>1200</v>
      </c>
      <c r="D30" s="1">
        <v>97</v>
      </c>
      <c r="E30" s="1">
        <v>65</v>
      </c>
      <c r="F30" s="1">
        <v>1</v>
      </c>
      <c r="G30" s="1">
        <v>1219</v>
      </c>
      <c r="H30" s="1">
        <v>31.6</v>
      </c>
      <c r="I30" s="1">
        <v>36</v>
      </c>
      <c r="J30" s="1">
        <v>12.7</v>
      </c>
      <c r="K30" s="1">
        <f t="shared" si="0"/>
        <v>1193.5999999999999</v>
      </c>
    </row>
    <row r="34" spans="2:2" x14ac:dyDescent="0.25">
      <c r="B34" t="s">
        <v>22</v>
      </c>
    </row>
    <row r="35" spans="2:2" x14ac:dyDescent="0.25">
      <c r="B35" s="7" t="s">
        <v>23</v>
      </c>
    </row>
    <row r="36" spans="2:2" x14ac:dyDescent="0.25">
      <c r="B36" s="7" t="s">
        <v>24</v>
      </c>
    </row>
    <row r="37" spans="2:2" x14ac:dyDescent="0.25">
      <c r="B37" s="7" t="s">
        <v>25</v>
      </c>
    </row>
    <row r="38" spans="2:2" x14ac:dyDescent="0.25">
      <c r="B38" s="7" t="s">
        <v>26</v>
      </c>
    </row>
    <row r="39" spans="2:2" x14ac:dyDescent="0.25">
      <c r="B39" s="7" t="s">
        <v>27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H2</vt:lpstr>
      <vt:lpstr>H2_data</vt:lpstr>
      <vt:lpstr>Pipe_data</vt:lpstr>
      <vt:lpstr>HydroDensityTable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Ir. N. González Díez</dc:creator>
  <cp:lastModifiedBy>Koornneef, J.M. (Joris)</cp:lastModifiedBy>
  <cp:lastPrinted>2017-11-25T16:16:44Z</cp:lastPrinted>
  <dcterms:created xsi:type="dcterms:W3CDTF">2017-11-23T09:04:13Z</dcterms:created>
  <dcterms:modified xsi:type="dcterms:W3CDTF">2018-02-07T14:30:08Z</dcterms:modified>
</cp:coreProperties>
</file>